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esktop\Supply Chain Porfolio\Supply Chain Analyst\CSCA - Certified Supply Chain Analyst\Excel Porfolio\Final\Project 3\"/>
    </mc:Choice>
  </mc:AlternateContent>
  <xr:revisionPtr revIDLastSave="0" documentId="13_ncr:1_{13B62690-FD18-422A-9144-F14ACAA6DD30}" xr6:coauthVersionLast="47" xr6:coauthVersionMax="47" xr10:uidLastSave="{00000000-0000-0000-0000-000000000000}"/>
  <bookViews>
    <workbookView xWindow="-110" yWindow="-110" windowWidth="25820" windowHeight="15500" activeTab="2" xr2:uid="{346724B3-1C49-40AE-AA36-C77CF5D6DD09}"/>
  </bookViews>
  <sheets>
    <sheet name="Data" sheetId="1" r:id="rId1"/>
    <sheet name="Questions &amp; KPIs" sheetId="2" r:id="rId2"/>
    <sheet name="ECommerce Pivot" sheetId="3" r:id="rId3"/>
    <sheet name="Dashboard" sheetId="4" r:id="rId4"/>
  </sheets>
  <definedNames>
    <definedName name="_xlchart.v5.0" hidden="1">'ECommerce Pivot'!$G$71:$H$71</definedName>
    <definedName name="_xlchart.v5.1" hidden="1">'ECommerce Pivot'!$G$72:$H$129</definedName>
    <definedName name="_xlchart.v5.2" hidden="1">'ECommerce Pivot'!$I$71</definedName>
    <definedName name="_xlchart.v5.3" hidden="1">'ECommerce Pivot'!$I$72:$I$129</definedName>
    <definedName name="_xlchart.v5.4" hidden="1">'ECommerce Pivot'!$L$71:$M$71</definedName>
    <definedName name="_xlchart.v5.5" hidden="1">'ECommerce Pivot'!$L$72:$M$129</definedName>
    <definedName name="_xlchart.v5.6" hidden="1">'ECommerce Pivot'!$N$71</definedName>
    <definedName name="_xlchart.v5.7" hidden="1">'ECommerce Pivot'!$N$72:$N$129</definedName>
    <definedName name="_xlnm.Print_Area" localSheetId="3">Dashboard!$A$1:$AE$51</definedName>
    <definedName name="_xlnm.Print_Area" localSheetId="0">Data!$A$1:$O$2402</definedName>
    <definedName name="_xlnm.Print_Area" localSheetId="1">'Questions &amp; KPIs'!$B$1:$B$18</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3" l="1"/>
  <c r="J27" i="3"/>
  <c r="K27" i="3"/>
  <c r="L27" i="3"/>
  <c r="I28" i="3"/>
  <c r="J28" i="3"/>
  <c r="K28" i="3"/>
  <c r="L28" i="3"/>
  <c r="I29" i="3"/>
  <c r="J29" i="3"/>
  <c r="K29" i="3"/>
  <c r="L29" i="3"/>
  <c r="I30" i="3"/>
  <c r="J30" i="3"/>
  <c r="K30" i="3"/>
  <c r="L30" i="3"/>
  <c r="I31" i="3"/>
  <c r="J31" i="3"/>
  <c r="K31" i="3"/>
  <c r="L31" i="3"/>
  <c r="H28" i="3"/>
  <c r="H29" i="3"/>
  <c r="H30" i="3"/>
  <c r="H31" i="3"/>
  <c r="H27" i="3"/>
  <c r="H4" i="3"/>
  <c r="I4" i="3"/>
  <c r="J4" i="3"/>
  <c r="K4" i="3"/>
  <c r="G4" i="3"/>
  <c r="O2401" i="1" l="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<sst xmlns="http://schemas.openxmlformats.org/spreadsheetml/2006/main" count="14872" uniqueCount="2544">
  <si>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</si>
  <si>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</si>
  <si>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</si>
  <si>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</si>
  <si>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</si>
  <si>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</si>
  <si>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</si>
  <si>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</si>
  <si>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</si>
  <si>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</si>
  <si>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</si>
  <si>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</si>
  <si>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</si>
  <si>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</si>
  <si>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</si>
  <si>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</si>
  <si>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</si>
  <si>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</si>
  <si>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</si>
  <si>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</si>
  <si>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</si>
  <si>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</si>
  <si>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</si>
  <si>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</si>
  <si>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</si>
  <si>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</si>
  <si>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</si>
  <si>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</si>
  <si>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</si>
  <si>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</si>
  <si>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</si>
  <si>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</si>
  <si>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</si>
  <si>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</si>
  <si>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</si>
  <si>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</si>
  <si>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</si>
  <si>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</si>
  <si>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</si>
  <si>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</si>
  <si>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</si>
  <si>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</si>
  <si>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</si>
  <si>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</si>
  <si>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</si>
  <si>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</si>
  <si>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</si>
  <si>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</si>
  <si>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</si>
  <si>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</si>
  <si>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</si>
  <si>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</si>
  <si>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</si>
  <si>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</si>
  <si>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</si>
  <si>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</si>
  <si>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</si>
  <si>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</si>
  <si>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</si>
  <si>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</si>
  <si>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</si>
  <si>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</si>
  <si>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</si>
  <si>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</si>
  <si>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</si>
  <si>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</si>
  <si>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</si>
  <si>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</si>
  <si>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</si>
  <si>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</si>
  <si>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</si>
  <si>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</si>
  <si>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</si>
  <si>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</si>
  <si>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</si>
  <si>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</si>
  <si>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</si>
  <si>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</si>
  <si>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</si>
  <si>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</si>
  <si>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</si>
  <si>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</si>
  <si>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</si>
  <si>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</si>
  <si>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</si>
  <si>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</si>
  <si>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</si>
  <si>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</si>
  <si>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</si>
  <si>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</si>
  <si>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</si>
  <si>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</si>
  <si>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</si>
  <si>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</si>
  <si>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</si>
  <si>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</si>
  <si>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</si>
  <si>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</si>
  <si>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</si>
  <si>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</si>
  <si>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</si>
  <si>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</si>
  <si>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</si>
  <si>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</si>
  <si>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</si>
  <si>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</si>
  <si>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</si>
  <si>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</si>
  <si>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</si>
  <si>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</si>
  <si>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</si>
  <si>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</si>
  <si>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</si>
  <si>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</si>
  <si>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</si>
  <si>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</si>
  <si>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</si>
  <si>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</si>
  <si>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</si>
  <si>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</si>
  <si>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</si>
  <si>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</si>
  <si>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</si>
  <si>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</si>
  <si>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</si>
  <si>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</si>
  <si>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</si>
  <si>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</si>
  <si>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</si>
  <si>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</si>
  <si>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</si>
  <si>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</si>
  <si>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</si>
  <si>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</si>
  <si>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</si>
  <si>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</si>
  <si>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</si>
  <si>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</si>
  <si>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</si>
  <si>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</si>
  <si>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</si>
  <si>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</si>
  <si>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</si>
  <si>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</si>
  <si>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</si>
  <si>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</si>
  <si>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</si>
  <si>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</si>
  <si>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</si>
  <si>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</si>
  <si>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</si>
  <si>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</si>
  <si>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</si>
  <si>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</si>
  <si>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</si>
  <si>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</si>
  <si>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</si>
  <si>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</si>
  <si>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</si>
  <si>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</si>
  <si>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</si>
  <si>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</si>
  <si>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</si>
  <si>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</si>
  <si>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</si>
  <si>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</si>
  <si>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</si>
  <si>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</si>
  <si>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</si>
  <si>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</si>
  <si>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</si>
  <si>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</si>
  <si>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</si>
  <si>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</si>
  <si>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</si>
  <si>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</si>
  <si>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</si>
  <si>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</si>
  <si>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</si>
  <si>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</si>
  <si>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</si>
  <si>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</si>
  <si>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</si>
  <si>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</si>
  <si>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</si>
  <si>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</si>
  <si>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</si>
  <si>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</si>
  <si>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</si>
  <si>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</si>
  <si>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</si>
  <si>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</si>
  <si>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</si>
  <si>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</si>
  <si>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</si>
  <si>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</si>
  <si>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</si>
  <si>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</si>
  <si>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</si>
  <si>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</si>
  <si>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</si>
  <si>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</si>
  <si>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</si>
  <si>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</si>
  <si>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</si>
  <si>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</si>
  <si>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</si>
  <si>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</si>
  <si>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</si>
  <si>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</si>
  <si>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</si>
  <si>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</si>
  <si>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</si>
  <si>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</si>
  <si>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</si>
  <si>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</si>
  <si>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</si>
  <si>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</si>
  <si>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</si>
  <si>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</si>
  <si>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</si>
  <si>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</si>
  <si>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</si>
  <si>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</si>
  <si>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</si>
  <si>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</si>
  <si>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</si>
  <si>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</si>
  <si>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</si>
  <si>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</si>
  <si>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</si>
  <si>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</si>
  <si>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</si>
  <si>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</si>
  <si>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</si>
  <si>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</si>
  <si>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</si>
  <si>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</si>
  <si>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</si>
  <si>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</si>
  <si>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</si>
  <si>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</si>
  <si>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</si>
  <si>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</si>
  <si>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</si>
  <si>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</si>
  <si>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</si>
  <si>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</si>
  <si>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</si>
  <si>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</si>
  <si>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</si>
  <si>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</si>
  <si>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</si>
  <si>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</si>
  <si>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</si>
  <si>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</si>
  <si>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</si>
  <si>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</si>
  <si>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</si>
  <si>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</si>
  <si>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</si>
  <si>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</si>
  <si>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</si>
  <si>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</si>
  <si>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</si>
  <si>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</si>
  <si>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</si>
  <si>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</si>
  <si>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</si>
  <si>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</si>
  <si>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</si>
  <si>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</si>
  <si>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</si>
  <si>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</si>
  <si>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</si>
  <si>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</si>
  <si>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</si>
  <si>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</si>
  <si>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</si>
  <si>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</si>
  <si>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</si>
  <si>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</si>
  <si>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</si>
  <si>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</si>
  <si>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</si>
  <si>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</si>
  <si>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</si>
  <si>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</si>
  <si>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</si>
  <si>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</si>
  <si>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</si>
  <si>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</si>
  <si>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</si>
  <si>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</si>
  <si>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</si>
  <si>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</si>
  <si>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</si>
  <si>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</si>
  <si>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</si>
  <si>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</si>
  <si>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</si>
  <si>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</si>
  <si>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</si>
  <si>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</si>
  <si>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</si>
  <si>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</si>
  <si>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</si>
  <si>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</si>
  <si>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</si>
  <si>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</si>
  <si>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</si>
  <si>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</si>
  <si>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</si>
  <si>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</si>
  <si>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</si>
  <si>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</si>
  <si>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</si>
  <si>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</si>
  <si>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</si>
  <si>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</si>
  <si>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</si>
  <si>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</si>
  <si>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</si>
  <si>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</si>
  <si>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</si>
  <si>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</si>
  <si>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</si>
  <si>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</si>
  <si>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</si>
  <si>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</si>
  <si>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</si>
  <si>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</si>
  <si>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</si>
  <si>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</si>
  <si>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</si>
  <si>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</si>
  <si>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</si>
  <si>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</si>
  <si>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</si>
  <si>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</si>
  <si>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</si>
  <si>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</si>
  <si>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</si>
  <si>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</si>
  <si>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</si>
  <si>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</si>
  <si>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</si>
  <si>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</si>
  <si>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</si>
  <si>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</si>
  <si>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</si>
  <si>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</si>
  <si>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</si>
  <si>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</si>
  <si>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</si>
  <si>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</si>
  <si>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</si>
  <si>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</si>
  <si>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</si>
  <si>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</si>
  <si>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</si>
  <si>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</si>
  <si>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</si>
  <si>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</si>
  <si>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</si>
  <si>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</si>
  <si>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</si>
  <si>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</si>
  <si>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</si>
  <si>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</si>
  <si>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</si>
  <si>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</si>
  <si>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</si>
  <si>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</si>
  <si>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</si>
  <si>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</si>
  <si>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</si>
  <si>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</si>
  <si>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</si>
  <si>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</si>
  <si>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</si>
  <si>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</si>
  <si>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</si>
  <si>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</si>
  <si>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</si>
  <si>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</si>
  <si>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</si>
  <si>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</si>
  <si>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</si>
  <si>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</si>
  <si>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</si>
  <si>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</si>
  <si>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</si>
  <si>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</si>
  <si>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</si>
  <si>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</si>
  <si>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</si>
  <si>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</si>
  <si>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</si>
  <si>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</si>
  <si>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</si>
  <si>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</si>
  <si>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</si>
  <si>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</si>
  <si>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</si>
  <si>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</si>
  <si>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</si>
  <si>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</si>
  <si>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</si>
  <si>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</si>
  <si>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</si>
  <si>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</si>
  <si>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</si>
  <si>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</si>
  <si>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</si>
  <si>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</si>
  <si>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</si>
  <si>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</si>
  <si>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</si>
  <si>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</si>
  <si>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</si>
  <si>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</si>
  <si>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</si>
  <si>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</si>
  <si>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</si>
  <si>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</si>
  <si>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</si>
  <si>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</si>
  <si>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</si>
  <si>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</si>
  <si>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</si>
  <si>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</si>
  <si>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</si>
  <si>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</si>
  <si>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</si>
  <si>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</si>
  <si>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</si>
  <si>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</si>
  <si>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</si>
  <si>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</si>
  <si>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</si>
  <si>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</si>
  <si>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</si>
  <si>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</si>
  <si>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</si>
  <si>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</si>
  <si>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</si>
  <si>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</si>
  <si>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</si>
  <si>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</si>
  <si>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</si>
  <si>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</si>
  <si>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</si>
  <si>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</si>
  <si>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</si>
  <si>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</si>
  <si>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</si>
  <si>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</si>
  <si>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</si>
  <si>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</si>
  <si>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</si>
  <si>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</si>
  <si>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</si>
  <si>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</si>
  <si>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</si>
  <si>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</si>
  <si>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</si>
  <si>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</si>
  <si>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</si>
  <si>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</si>
  <si>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</si>
  <si>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</si>
  <si>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</si>
  <si>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</si>
  <si>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</si>
  <si>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</si>
  <si>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</si>
  <si>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</si>
  <si>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</si>
  <si>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</si>
  <si>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</si>
  <si>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</si>
  <si>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</si>
  <si>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</si>
  <si>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</si>
  <si>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</si>
  <si>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</si>
  <si>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</si>
  <si>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</si>
  <si>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</si>
  <si>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</si>
  <si>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</si>
  <si>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</si>
  <si>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</si>
  <si>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</si>
  <si>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</si>
  <si>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</si>
  <si>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</si>
  <si>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</si>
  <si>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</si>
  <si>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</si>
  <si>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</si>
  <si>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</si>
  <si>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</si>
  <si>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</si>
  <si>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</si>
  <si>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</si>
  <si>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</si>
  <si>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</si>
  <si>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</si>
  <si>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</si>
  <si>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</si>
  <si>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</si>
  <si>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</si>
  <si>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</si>
  <si>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</si>
  <si>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</si>
  <si>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</si>
  <si>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</si>
  <si>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</si>
  <si>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</si>
  <si>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</si>
  <si>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</si>
  <si>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</si>
  <si>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</si>
  <si>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</si>
  <si>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</si>
  <si>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</si>
  <si>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</si>
  <si>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</si>
  <si>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</si>
  <si>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</si>
  <si>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</si>
  <si>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</si>
  <si>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</si>
  <si>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</si>
  <si>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</si>
  <si>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</si>
  <si>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</si>
  <si>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</si>
  <si>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</si>
  <si>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</si>
  <si>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</si>
  <si>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</si>
  <si>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</si>
  <si>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</si>
  <si>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</si>
  <si>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</si>
  <si>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</si>
  <si>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</si>
  <si>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</si>
  <si>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</si>
  <si>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</si>
  <si>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</si>
  <si>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</si>
  <si>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</si>
  <si>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</si>
  <si>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</si>
  <si>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</si>
  <si>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</si>
  <si>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</si>
  <si>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</si>
  <si>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</si>
  <si>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</si>
  <si>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</si>
  <si>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</si>
  <si>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</si>
  <si>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</si>
  <si>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</si>
  <si>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</si>
  <si>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</si>
  <si>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</si>
  <si>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</si>
  <si>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</si>
  <si>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</si>
  <si>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</si>
  <si>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</si>
  <si>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</si>
  <si>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</si>
  <si>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</si>
  <si>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</si>
  <si>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</si>
  <si>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</si>
  <si>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</si>
  <si>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</si>
  <si>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</si>
  <si>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</si>
  <si>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</si>
  <si>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</si>
  <si>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</si>
  <si>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</si>
  <si>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</si>
  <si>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</si>
  <si>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</si>
  <si>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</si>
  <si>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</si>
  <si>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</si>
  <si>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</si>
  <si>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</si>
  <si>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</si>
  <si>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</si>
  <si>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</si>
  <si>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</si>
  <si>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</si>
  <si>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</si>
  <si>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</si>
  <si>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</si>
  <si>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</si>
  <si>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</si>
  <si>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</si>
  <si>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</si>
  <si>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</si>
  <si>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</si>
  <si>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</si>
  <si>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</si>
  <si>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</si>
  <si>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</si>
  <si>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</si>
  <si>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</si>
  <si>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</si>
  <si>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</si>
  <si>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</si>
  <si>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</si>
  <si>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</si>
  <si>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</si>
  <si>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</si>
  <si>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</si>
  <si>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</si>
  <si>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</si>
  <si>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</si>
  <si>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</si>
  <si>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</si>
  <si>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</si>
  <si>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</si>
  <si>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</si>
  <si>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</si>
  <si>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</si>
  <si>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</si>
  <si>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</si>
  <si>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</si>
  <si>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</si>
  <si>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</si>
  <si>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</si>
  <si>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</si>
  <si>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</si>
  <si>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</si>
  <si>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</si>
  <si>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</si>
  <si>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</si>
  <si>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</si>
  <si>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</si>
  <si>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</si>
  <si>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</si>
  <si>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</si>
  <si>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</si>
  <si>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</si>
  <si>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</si>
  <si>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</si>
  <si>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</si>
  <si>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</si>
  <si>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</si>
  <si>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</si>
  <si>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</si>
  <si>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</si>
  <si>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</si>
  <si>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</si>
  <si>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</si>
  <si>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</si>
  <si>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</si>
  <si>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</si>
  <si>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</si>
  <si>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</si>
  <si>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</si>
  <si>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</si>
  <si>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</si>
  <si>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</si>
  <si>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</si>
  <si>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</si>
  <si>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</si>
  <si>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</si>
  <si>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</si>
  <si>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</si>
  <si>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</si>
  <si>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</si>
  <si>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</si>
  <si>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</si>
  <si>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</si>
  <si>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</si>
  <si>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</si>
  <si>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</si>
  <si>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</si>
  <si>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</si>
  <si>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</si>
  <si>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</si>
  <si>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</si>
  <si>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</si>
  <si>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</si>
  <si>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</si>
  <si>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</si>
  <si>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</si>
  <si>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</si>
  <si>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</si>
  <si>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</si>
  <si>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</si>
  <si>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</si>
  <si>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</si>
  <si>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</si>
  <si>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</si>
  <si>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</si>
  <si>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</si>
  <si>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</si>
  <si>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</si>
  <si>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</si>
  <si>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</si>
  <si>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</si>
  <si>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</si>
  <si>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</si>
  <si>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</si>
  <si>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</si>
  <si>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</si>
  <si>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</si>
  <si>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</si>
  <si>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</si>
  <si>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</si>
  <si>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</si>
  <si>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</si>
  <si>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</si>
  <si>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</si>
  <si>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</si>
  <si>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</si>
  <si>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</si>
  <si>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</si>
  <si>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</si>
  <si>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</si>
  <si>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</si>
  <si>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</si>
  <si>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</si>
  <si>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</si>
  <si>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</si>
  <si>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</si>
  <si>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</si>
  <si>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</si>
  <si>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</si>
  <si>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</si>
  <si>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</si>
  <si>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</si>
  <si>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</si>
  <si>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</si>
  <si>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</si>
  <si>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</si>
  <si>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</si>
  <si>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</si>
  <si>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</si>
  <si>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</si>
  <si>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</si>
  <si>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</si>
  <si>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</si>
  <si>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</si>
  <si>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</si>
  <si>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</si>
  <si>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</si>
  <si>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</si>
  <si>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</si>
  <si>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</si>
  <si>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</si>
  <si>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</si>
  <si>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</si>
  <si>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</si>
  <si>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</si>
  <si>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</si>
  <si>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</si>
  <si>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</si>
  <si>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</si>
  <si>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</si>
  <si>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</si>
  <si>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</si>
  <si>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</si>
  <si>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</si>
  <si>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</si>
  <si>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</si>
  <si>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</si>
  <si>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</si>
  <si>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</si>
  <si>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</si>
  <si>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</si>
  <si>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</si>
  <si>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</si>
  <si>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</si>
  <si>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</si>
  <si>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</si>
  <si>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</si>
  <si>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</si>
  <si>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</si>
  <si>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</si>
  <si>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</si>
  <si>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</si>
  <si>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</si>
  <si>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</si>
  <si>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</si>
  <si>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</si>
  <si>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</si>
  <si>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</si>
  <si>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</si>
  <si>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</si>
  <si>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</si>
  <si>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</si>
  <si>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</si>
  <si>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</si>
  <si>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</si>
  <si>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</si>
  <si>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</si>
  <si>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</si>
  <si>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</si>
  <si>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</si>
  <si>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</si>
  <si>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</si>
  <si>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</si>
  <si>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</si>
  <si>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</si>
  <si>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</si>
  <si>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</si>
  <si>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</si>
  <si>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</si>
  <si>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</si>
  <si>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</si>
  <si>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</si>
  <si>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</si>
  <si>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</si>
  <si>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</si>
  <si>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</si>
  <si>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</si>
  <si>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</si>
  <si>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</si>
  <si>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</si>
  <si>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</si>
  <si>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</si>
  <si>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</si>
  <si>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</si>
  <si>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</si>
  <si>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</si>
  <si>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</si>
  <si>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</si>
  <si>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</si>
  <si>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</si>
  <si>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</si>
  <si>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</si>
  <si>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</si>
  <si>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</si>
  <si>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</si>
  <si>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</si>
  <si>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</si>
  <si>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</si>
  <si>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</si>
  <si>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</si>
  <si>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</si>
  <si>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</si>
  <si>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</si>
  <si>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</si>
  <si>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</si>
  <si>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</si>
  <si>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</si>
  <si>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</si>
  <si>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</si>
  <si>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</si>
  <si>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</si>
  <si>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</si>
  <si>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</si>
  <si>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</si>
  <si>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</si>
  <si>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</si>
  <si>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</si>
  <si>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</si>
  <si>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</si>
  <si>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</si>
  <si>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</si>
  <si>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</si>
  <si>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</si>
  <si>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</si>
  <si>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</si>
  <si>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</si>
  <si>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</si>
  <si>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</si>
  <si>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</si>
  <si>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</si>
  <si>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</si>
  <si>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</si>
  <si>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</si>
  <si>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</si>
  <si>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</si>
  <si>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</si>
  <si>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</si>
  <si>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</si>
  <si>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</si>
  <si>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</si>
  <si>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</si>
  <si>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</si>
  <si>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</si>
  <si>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</si>
  <si>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</si>
  <si>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</si>
  <si>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</si>
  <si>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</si>
  <si>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</si>
  <si>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</si>
  <si>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</si>
  <si>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</si>
  <si>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</si>
  <si>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</si>
  <si>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</si>
  <si>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</si>
  <si>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</si>
  <si>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</si>
  <si>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</si>
  <si>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</si>
  <si>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</si>
  <si>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</si>
  <si>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</si>
  <si>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</si>
  <si>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</si>
  <si>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</si>
  <si>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</si>
  <si>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</si>
  <si>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</si>
  <si>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</si>
  <si>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</si>
  <si>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</si>
  <si>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</si>
  <si>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</si>
  <si>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</si>
  <si>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</si>
  <si>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</si>
  <si>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</si>
  <si>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</si>
  <si>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</si>
  <si>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</si>
  <si>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</si>
  <si>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</si>
  <si>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</si>
  <si>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</si>
  <si>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</si>
  <si>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</si>
  <si>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</si>
  <si>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</si>
  <si>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</si>
  <si>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</si>
  <si>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</si>
  <si>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</si>
  <si>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</si>
  <si>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</si>
  <si>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</si>
  <si>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</si>
  <si>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</si>
  <si>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</si>
  <si>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</si>
  <si>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</si>
  <si>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</si>
  <si>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</si>
  <si>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</si>
  <si>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</si>
  <si>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</si>
  <si>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</si>
  <si>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</si>
  <si>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</si>
  <si>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</si>
  <si>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</si>
  <si>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</si>
  <si>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</si>
  <si>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</si>
  <si>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</si>
  <si>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</si>
  <si>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</si>
  <si>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</si>
  <si>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</si>
  <si>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</si>
  <si>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</si>
  <si>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</si>
  <si>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</si>
  <si>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</si>
  <si>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</si>
  <si>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</si>
  <si>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</si>
  <si>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</si>
  <si>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</si>
  <si>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</si>
  <si>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</si>
  <si>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</si>
  <si>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</si>
  <si>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</si>
  <si>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</si>
  <si>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</si>
  <si>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</si>
  <si>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</si>
  <si>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</si>
  <si>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</si>
  <si>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</si>
  <si>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</si>
  <si>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</si>
  <si>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</si>
  <si>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</si>
  <si>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</si>
  <si>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</si>
  <si>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</si>
  <si>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</si>
  <si>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</si>
  <si>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</si>
  <si>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</si>
  <si>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</si>
  <si>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</si>
  <si>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</si>
  <si>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</si>
  <si>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</si>
  <si>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</si>
  <si>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</si>
  <si>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</si>
  <si>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</si>
  <si>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</si>
  <si>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</si>
  <si>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</si>
  <si>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</si>
  <si>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</si>
  <si>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</si>
  <si>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</si>
  <si>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</si>
  <si>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</si>
  <si>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</si>
  <si>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</si>
  <si>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</si>
  <si>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</si>
  <si>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</si>
  <si>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</si>
  <si>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</si>
  <si>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</si>
  <si>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</si>
  <si>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</si>
  <si>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</si>
  <si>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</si>
  <si>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</si>
  <si>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</si>
  <si>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</si>
  <si>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</si>
  <si>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</si>
  <si>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</si>
  <si>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</si>
  <si>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</si>
  <si>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</si>
  <si>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</si>
  <si>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</si>
  <si>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</si>
  <si>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</si>
  <si>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</si>
  <si>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</si>
  <si>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</si>
  <si>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</si>
  <si>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</si>
  <si>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</si>
  <si>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</si>
  <si>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</si>
  <si>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</si>
  <si>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</si>
  <si>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</si>
  <si>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</si>
  <si>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</si>
  <si>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</si>
  <si>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</si>
  <si>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</si>
  <si>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</si>
  <si>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</si>
  <si>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</si>
  <si>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</si>
  <si>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</si>
  <si>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</si>
  <si>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</si>
  <si>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</si>
  <si>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</si>
  <si>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</si>
  <si>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</si>
  <si>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</si>
  <si>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</si>
  <si>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</si>
  <si>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</si>
  <si>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</si>
  <si>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</si>
  <si>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</si>
  <si>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</si>
  <si>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</si>
  <si>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</si>
  <si>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</si>
  <si>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</si>
  <si>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</si>
  <si>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</si>
  <si>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</si>
  <si>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</si>
  <si>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</si>
  <si>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</si>
  <si>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</si>
  <si>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</si>
  <si>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</si>
  <si>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</si>
  <si>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</si>
  <si>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</si>
  <si>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</si>
  <si>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</si>
  <si>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</si>
  <si>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</si>
  <si>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</si>
  <si>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</si>
  <si>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</si>
  <si>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</si>
  <si>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</si>
  <si>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</si>
  <si>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</si>
  <si>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</si>
  <si>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</si>
  <si>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</si>
  <si>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</si>
  <si>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</si>
  <si>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</si>
  <si>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</si>
  <si>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</si>
  <si>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</si>
  <si>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</si>
  <si>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</si>
  <si>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</si>
  <si>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</si>
  <si>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</si>
  <si>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</si>
  <si>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</si>
  <si>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</si>
  <si>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</si>
  <si>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</si>
  <si>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</si>
  <si>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</si>
  <si>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</si>
  <si>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</si>
  <si>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</si>
  <si>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</si>
  <si>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</si>
  <si>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</si>
  <si>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</si>
  <si>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</si>
  <si>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</si>
  <si>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</si>
  <si>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</si>
  <si>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</si>
  <si>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</si>
  <si>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</si>
  <si>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</si>
  <si>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</si>
  <si>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</si>
  <si>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</si>
  <si>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</si>
  <si>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</si>
  <si>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</si>
  <si>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</si>
  <si>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</si>
  <si>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</si>
  <si>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</si>
  <si>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</si>
  <si>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</si>
  <si>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</si>
  <si>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</si>
  <si>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</si>
  <si>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</si>
  <si>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</si>
  <si>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</si>
  <si>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</si>
  <si>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</si>
  <si>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</si>
  <si>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</si>
  <si>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</si>
  <si>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</si>
  <si>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</si>
  <si>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</si>
  <si>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</si>
  <si>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</si>
  <si>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</si>
  <si>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</si>
  <si>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</si>
  <si>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</si>
  <si>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</si>
  <si>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</si>
  <si>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</si>
  <si>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</si>
  <si>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</si>
  <si>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</si>
  <si>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</si>
  <si>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</si>
  <si>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</si>
  <si>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</si>
  <si>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</si>
  <si>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</si>
  <si>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</si>
  <si>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</si>
  <si>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</si>
  <si>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</si>
  <si>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</si>
  <si>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</si>
  <si>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</si>
  <si>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</si>
  <si>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</si>
  <si>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</si>
  <si>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</si>
  <si>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</si>
  <si>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</si>
  <si>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</si>
  <si>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</si>
  <si>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</si>
  <si>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</si>
  <si>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</si>
  <si>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</si>
  <si>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</si>
  <si>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</si>
  <si>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</si>
  <si>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</si>
  <si>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</si>
  <si>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</si>
  <si>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</si>
  <si>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</si>
  <si>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</si>
  <si>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</si>
  <si>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</si>
  <si>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</si>
  <si>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</si>
  <si>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</si>
  <si>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</si>
  <si>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</si>
  <si>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</si>
  <si>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</si>
  <si>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</si>
  <si>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</si>
  <si>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</si>
  <si>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</si>
  <si>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</si>
  <si>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</si>
  <si>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</si>
  <si>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</si>
  <si>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</si>
  <si>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</si>
  <si>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</si>
  <si>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</si>
  <si>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</si>
  <si>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</si>
  <si>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</si>
  <si>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</si>
  <si>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</si>
  <si>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</si>
  <si>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</si>
  <si>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</si>
  <si>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</si>
  <si>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</si>
  <si>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</si>
  <si>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</si>
  <si>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</si>
  <si>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</si>
  <si>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</si>
  <si>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</si>
  <si>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</si>
  <si>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</si>
  <si>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</si>
  <si>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</si>
  <si>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</si>
  <si>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</si>
  <si>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</si>
  <si>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</si>
  <si>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</si>
  <si>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</si>
  <si>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</si>
  <si>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</si>
  <si>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</si>
  <si>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</si>
  <si>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</si>
  <si>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</si>
  <si>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</si>
  <si>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</si>
  <si>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</si>
  <si>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</si>
  <si>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</si>
  <si>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</si>
  <si>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</si>
  <si>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</si>
  <si>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</si>
  <si>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</si>
  <si>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</si>
  <si>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</si>
  <si>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</si>
  <si>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</si>
  <si>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</si>
  <si>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</si>
  <si>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</si>
  <si>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</si>
  <si>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</si>
  <si>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</si>
  <si>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</si>
  <si>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</si>
  <si>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</si>
  <si>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</si>
  <si>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</si>
  <si>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</si>
  <si>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</si>
  <si>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</si>
  <si>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</si>
  <si>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</si>
  <si>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</si>
  <si>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</si>
  <si>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</si>
  <si>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</si>
  <si>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</si>
  <si>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</si>
  <si>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</si>
  <si>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</si>
  <si>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</si>
  <si>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</si>
  <si>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</si>
  <si>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</si>
  <si>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</si>
  <si>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</si>
  <si>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</si>
  <si>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</si>
  <si>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</si>
  <si>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</si>
  <si>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</si>
  <si>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</si>
  <si>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</si>
  <si>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</si>
  <si>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</si>
  <si>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</si>
  <si>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</si>
  <si>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</si>
  <si>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</si>
  <si>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</si>
  <si>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</si>
  <si>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</si>
  <si>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</si>
  <si>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</si>
  <si>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</si>
  <si>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</si>
  <si>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</si>
  <si>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</si>
  <si>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</si>
  <si>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</si>
  <si>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</si>
  <si>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</si>
  <si>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</si>
  <si>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</si>
  <si>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</si>
  <si>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</si>
  <si>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</si>
  <si>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</si>
  <si>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</si>
  <si>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</si>
  <si>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</si>
  <si>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</si>
  <si>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</si>
  <si>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</si>
  <si>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</si>
  <si>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</si>
  <si>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</si>
  <si>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</si>
  <si>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</si>
  <si>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</si>
  <si>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</si>
  <si>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</si>
  <si>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</si>
  <si>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</si>
  <si>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</si>
  <si>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</si>
  <si>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</si>
  <si>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</si>
  <si>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</si>
  <si>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</si>
  <si>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</si>
  <si>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</si>
  <si>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</si>
  <si>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</si>
  <si>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</si>
  <si>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</si>
  <si>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</si>
  <si>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</si>
  <si>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</si>
  <si>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</si>
  <si>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</si>
  <si>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</si>
  <si>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</si>
  <si>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</si>
  <si>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</si>
  <si>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</si>
  <si>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</si>
  <si>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</si>
  <si>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</si>
  <si>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</si>
  <si>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</si>
  <si>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</si>
  <si>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</si>
  <si>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</si>
  <si>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</si>
  <si>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</si>
  <si>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</si>
  <si>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</si>
  <si>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</si>
  <si>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</si>
  <si>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</si>
  <si>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</si>
  <si>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</si>
  <si>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</si>
  <si>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</si>
  <si>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</si>
  <si>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</si>
  <si>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</si>
  <si>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</si>
  <si>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</si>
  <si>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</si>
  <si>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</si>
  <si>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</si>
  <si>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</si>
  <si>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</si>
  <si>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</si>
  <si>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</si>
  <si>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</si>
  <si>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</si>
  <si>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</si>
  <si>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</si>
  <si>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</si>
  <si>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</si>
  <si>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</si>
  <si>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</si>
  <si>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</si>
  <si>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</si>
  <si>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</si>
  <si>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</si>
  <si>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</si>
  <si>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</si>
  <si>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</si>
  <si>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</si>
  <si>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</si>
  <si>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</si>
  <si>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</si>
  <si>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</si>
  <si>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</si>
  <si>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</si>
  <si>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</si>
  <si>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</si>
  <si>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</si>
  <si>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</si>
  <si>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</si>
  <si>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</si>
  <si>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</si>
  <si>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</si>
  <si>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</si>
  <si>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</si>
  <si>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</si>
  <si>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</si>
  <si>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</si>
  <si>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</si>
  <si>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</si>
  <si>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</si>
  <si>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</si>
  <si>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</si>
  <si>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</si>
  <si>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</si>
  <si>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</si>
  <si>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</si>
  <si>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</si>
  <si>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</si>
  <si>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</si>
  <si>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</si>
  <si>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</si>
  <si>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</si>
  <si>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</si>
  <si>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</si>
  <si>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</si>
  <si>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</si>
  <si>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</si>
  <si>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</si>
  <si>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</si>
  <si>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</si>
  <si>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</si>
  <si>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</si>
  <si>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</si>
  <si>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</si>
  <si>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</si>
  <si>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</si>
  <si>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</si>
  <si>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</si>
  <si>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</si>
  <si>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</si>
  <si>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</si>
  <si>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</si>
  <si>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</si>
  <si>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</si>
  <si>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</si>
  <si>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</si>
  <si>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</si>
  <si>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</si>
  <si>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</si>
  <si>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</si>
  <si>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</si>
  <si>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</si>
  <si>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</si>
  <si>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</si>
  <si>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</si>
  <si>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</si>
  <si>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</si>
  <si>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</si>
  <si>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</si>
  <si>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</si>
  <si>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</si>
  <si>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</si>
  <si>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</si>
  <si>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</si>
  <si>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</si>
  <si>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</si>
  <si>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</si>
  <si>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</si>
  <si>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</si>
  <si>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</si>
  <si>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</si>
  <si>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</si>
  <si>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</si>
  <si>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</si>
  <si>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</si>
  <si>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</si>
  <si>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</si>
  <si>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</si>
  <si>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</si>
  <si>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</si>
  <si>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</si>
  <si>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</si>
  <si>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</si>
  <si>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</si>
  <si>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</si>
  <si>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</si>
  <si>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</si>
  <si>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</si>
  <si>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</si>
  <si>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</si>
  <si>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</si>
  <si>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</si>
  <si>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</si>
  <si>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</si>
  <si>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</si>
  <si>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</si>
  <si>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</si>
  <si>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</si>
  <si>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</si>
  <si>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</si>
  <si>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</si>
  <si>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</si>
  <si>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</si>
  <si>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</si>
  <si>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</si>
  <si>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</si>
  <si>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</si>
  <si>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</si>
  <si>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</si>
  <si>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</si>
  <si>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</si>
  <si>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</si>
  <si>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</si>
  <si>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</si>
  <si>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</si>
  <si>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</si>
  <si>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</si>
  <si>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</si>
  <si>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</si>
  <si>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</si>
  <si>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</si>
  <si>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</si>
  <si>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</si>
  <si>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</si>
  <si>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</si>
  <si>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</si>
  <si>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</si>
  <si>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</si>
  <si>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</si>
  <si>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</si>
  <si>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</si>
  <si>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</si>
  <si>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</si>
  <si>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</si>
  <si>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</si>
  <si>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</si>
  <si>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</si>
  <si>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</si>
  <si>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</si>
  <si>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</si>
  <si>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</si>
  <si>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</si>
  <si>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</si>
  <si>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</si>
  <si>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</si>
  <si>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</si>
  <si>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</si>
  <si>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</si>
  <si>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</si>
  <si>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</si>
  <si>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</si>
  <si>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</si>
  <si>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</si>
  <si>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</si>
  <si>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</si>
  <si>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</si>
  <si>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</si>
  <si>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</si>
  <si>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</si>
  <si>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</si>
  <si>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</si>
  <si>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</si>
  <si>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</si>
  <si>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</si>
  <si>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</si>
  <si>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</si>
  <si>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</si>
  <si>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</si>
  <si>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</si>
  <si>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</si>
  <si>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</si>
  <si>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</si>
  <si>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</si>
  <si>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</si>
  <si>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</si>
  <si>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</si>
  <si>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</si>
  <si>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</si>
  <si>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</si>
  <si>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</si>
  <si>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</si>
  <si>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</si>
  <si>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</si>
  <si>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</si>
  <si>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</si>
  <si>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</si>
  <si>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</si>
  <si>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</si>
  <si>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</si>
  <si>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</si>
  <si>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</si>
  <si>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</si>
  <si>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</si>
  <si>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</si>
  <si>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</si>
  <si>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</si>
  <si>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</si>
  <si>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</si>
  <si>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</si>
  <si>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</si>
  <si>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</si>
  <si>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</si>
  <si>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</si>
  <si>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</si>
  <si>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</si>
  <si>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</si>
  <si>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</si>
  <si>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</si>
  <si>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</si>
  <si>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</si>
  <si>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</si>
  <si>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</si>
  <si>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</si>
  <si>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</si>
  <si>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</si>
  <si>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</si>
  <si>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</si>
  <si>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</si>
  <si>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</si>
  <si>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</si>
  <si>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</si>
  <si>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</si>
  <si>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</si>
  <si>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</si>
  <si>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</si>
  <si>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</si>
  <si>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</si>
  <si>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</si>
  <si>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</si>
  <si>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</si>
  <si>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</si>
  <si>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</si>
  <si>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</si>
  <si>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</si>
  <si>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</si>
  <si>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</si>
  <si>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</si>
  <si>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</si>
  <si>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</si>
  <si>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</si>
  <si>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</si>
  <si>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</si>
  <si>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</si>
  <si>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</si>
  <si>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</si>
  <si>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</si>
  <si>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</si>
  <si>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</si>
  <si>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</si>
  <si>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</si>
  <si>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</si>
  <si>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</si>
  <si>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</si>
  <si>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</si>
  <si>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</si>
  <si>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</si>
  <si>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</si>
  <si>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</si>
  <si>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</si>
  <si>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</si>
  <si>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</si>
  <si>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</si>
  <si>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</si>
  <si>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</si>
  <si>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</si>
  <si>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</si>
  <si>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</si>
  <si>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</si>
  <si>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</si>
  <si>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</si>
  <si>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</si>
  <si>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</si>
  <si>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</si>
  <si>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</si>
  <si>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</si>
  <si>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</si>
  <si>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</si>
  <si>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</si>
  <si>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</si>
  <si>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</si>
  <si>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</si>
  <si>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</si>
  <si>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</si>
  <si>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</si>
  <si>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</si>
  <si>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</si>
  <si>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</si>
  <si>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</si>
  <si>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</si>
  <si>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</si>
  <si>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</si>
  <si>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</si>
  <si>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</si>
  <si>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</si>
  <si>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</si>
  <si>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</si>
  <si>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</si>
  <si>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</si>
  <si>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</si>
  <si>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</si>
  <si>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</si>
  <si>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</si>
  <si>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</si>
  <si>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</si>
  <si>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</si>
  <si>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</si>
  <si>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</si>
  <si>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</si>
  <si>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</si>
  <si>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</si>
  <si>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</si>
  <si>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</si>
  <si>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</si>
  <si>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</si>
  <si>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</si>
  <si>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</si>
  <si>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</si>
  <si>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</si>
  <si>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</si>
  <si>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</si>
  <si>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</si>
  <si>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</si>
  <si>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</si>
  <si>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</si>
  <si>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</si>
  <si>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</si>
  <si>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</si>
  <si>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</si>
  <si>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</si>
  <si>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</si>
  <si>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</si>
  <si>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</si>
  <si>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</si>
  <si>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</si>
  <si>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</si>
  <si>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</si>
  <si>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</si>
  <si>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</si>
  <si>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</si>
  <si>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</si>
  <si>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</si>
  <si>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</si>
  <si>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</si>
  <si>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</si>
  <si>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</si>
  <si>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</si>
  <si>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</si>
  <si>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</si>
  <si>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</si>
  <si>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</si>
  <si>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</si>
  <si>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</si>
  <si>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</si>
  <si>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</si>
  <si>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</si>
  <si>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</si>
  <si>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</si>
  <si>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</si>
  <si>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</si>
  <si>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</si>
  <si>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</si>
  <si>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</si>
  <si>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</si>
  <si>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</si>
  <si>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</si>
  <si>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</si>
  <si>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</si>
  <si>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</si>
  <si>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</si>
  <si>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</si>
  <si>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</si>
  <si>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</si>
  <si>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</si>
  <si>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</si>
  <si>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</si>
  <si>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</si>
  <si>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</si>
  <si>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</si>
  <si>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</si>
  <si>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</si>
  <si>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</si>
  <si>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</si>
  <si>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</si>
  <si>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</si>
  <si>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</si>
  <si>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</si>
  <si>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</si>
  <si>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</si>
  <si>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</si>
  <si>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</si>
  <si>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</si>
  <si>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</si>
  <si>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</si>
  <si>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</si>
  <si>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</si>
  <si>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</si>
  <si>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</si>
  <si>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</si>
  <si>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</si>
  <si>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</si>
  <si>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</si>
  <si>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</si>
  <si>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</si>
  <si>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</si>
  <si>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</si>
  <si>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</si>
  <si>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</si>
  <si>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</si>
  <si>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</si>
  <si>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</si>
  <si>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</si>
  <si>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</si>
  <si>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</si>
  <si>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</si>
  <si>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</si>
  <si>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</si>
  <si>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</si>
  <si>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</si>
  <si>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</si>
  <si>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</si>
  <si>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</si>
  <si>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</si>
  <si>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</si>
  <si>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</si>
  <si>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</si>
  <si>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</si>
  <si>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</si>
  <si>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</si>
  <si>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</si>
  <si>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</si>
  <si>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</si>
  <si>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</si>
  <si>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</si>
  <si>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</si>
  <si>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</si>
  <si>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</si>
  <si>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</si>
  <si>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</si>
  <si>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</si>
  <si>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</si>
  <si>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</si>
  <si>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</si>
  <si>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</si>
  <si>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</si>
  <si>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</si>
  <si>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</si>
  <si>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</si>
  <si>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</si>
  <si>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</si>
  <si>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</si>
  <si>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</si>
  <si>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</si>
  <si>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</si>
  <si>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</si>
  <si>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</si>
  <si>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</si>
  <si>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</si>
  <si>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</si>
  <si>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</si>
  <si>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</si>
  <si>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</si>
  <si>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</si>
  <si>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</si>
  <si>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</si>
  <si>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</si>
  <si>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</si>
  <si>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</si>
  <si>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</si>
  <si>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</si>
  <si>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</si>
  <si>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</si>
  <si>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</si>
  <si>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</si>
  <si>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</si>
  <si>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</si>
  <si>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</si>
  <si>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</si>
  <si>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</si>
  <si>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</si>
  <si>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</si>
  <si>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</si>
  <si>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</si>
  <si>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</si>
  <si>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</si>
  <si>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</si>
  <si>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</si>
  <si>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</si>
  <si>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</si>
  <si>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</si>
  <si>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</si>
  <si>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</si>
  <si>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</si>
  <si>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</si>
  <si>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</si>
  <si>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</si>
  <si>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</si>
  <si>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</si>
  <si>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</si>
  <si>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</si>
  <si>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</si>
  <si>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</si>
  <si>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</si>
  <si>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</si>
  <si>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</si>
  <si>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</si>
  <si>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</si>
  <si>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</si>
  <si>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</si>
  <si>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</si>
  <si>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</si>
  <si>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</si>
  <si>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</si>
  <si>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</si>
  <si>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</si>
  <si>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</si>
  <si>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</si>
  <si>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</si>
  <si>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</si>
  <si>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</si>
  <si>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</si>
  <si>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</si>
  <si>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</si>
  <si>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</si>
  <si>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</si>
  <si>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</si>
  <si>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</si>
  <si>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</si>
  <si>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</si>
  <si>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</si>
  <si>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</si>
  <si>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</si>
  <si>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</si>
  <si>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</si>
  <si>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</si>
  <si>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</si>
  <si>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</si>
  <si>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</si>
  <si>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</si>
  <si>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</si>
  <si>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</si>
  <si>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</si>
  <si>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</si>
  <si>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</si>
  <si>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</si>
  <si>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</si>
  <si>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</si>
  <si>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</si>
  <si>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</si>
  <si>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</si>
  <si>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</si>
  <si>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</si>
  <si>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</si>
  <si>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</si>
  <si>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</si>
  <si>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</si>
  <si>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</si>
  <si>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</si>
  <si>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</si>
  <si>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</si>
  <si>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</si>
  <si>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</si>
  <si>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</si>
  <si>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</si>
  <si>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</si>
  <si>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</si>
  <si>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</si>
  <si>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</si>
  <si>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</si>
  <si>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</si>
  <si>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</si>
  <si>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</si>
  <si>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</si>
  <si>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</si>
  <si>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</si>
  <si>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</si>
  <si>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</si>
  <si>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</si>
  <si>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</si>
  <si>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</si>
  <si>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</si>
  <si>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</si>
  <si>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</si>
  <si>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</si>
  <si>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</si>
  <si>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</si>
  <si>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</si>
  <si>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</si>
  <si>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</si>
  <si>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</si>
  <si>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</si>
  <si>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</si>
  <si>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</si>
  <si>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</si>
  <si>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</si>
  <si>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</si>
  <si>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</si>
  <si>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</si>
  <si>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</si>
  <si>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</si>
  <si>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</si>
  <si>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</si>
  <si>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</si>
  <si>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</si>
  <si>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</si>
  <si>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</si>
  <si>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</si>
  <si>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</si>
  <si>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</si>
  <si>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</si>
  <si>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</si>
  <si>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</si>
  <si>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</si>
  <si>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</si>
  <si>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</si>
  <si>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</si>
  <si>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</si>
  <si>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</si>
  <si>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</si>
  <si>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</si>
  <si>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</si>
  <si>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</si>
  <si>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</si>
  <si>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</si>
  <si>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</si>
  <si>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</si>
  <si>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</si>
  <si>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</si>
  <si>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</si>
  <si>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</si>
  <si>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</si>
  <si>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</si>
  <si>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</si>
  <si>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</si>
  <si>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</si>
  <si>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</si>
  <si>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</si>
  <si>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</si>
  <si>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</si>
  <si>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</si>
  <si>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</si>
  <si>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</si>
  <si>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</si>
  <si>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</si>
  <si>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</si>
  <si>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</si>
  <si>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</si>
  <si>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</si>
  <si>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</si>
  <si>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</si>
  <si>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</si>
  <si>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</si>
  <si>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</si>
  <si>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</si>
  <si>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</si>
  <si>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</si>
  <si>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</si>
  <si>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</si>
  <si>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</si>
  <si>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</si>
  <si>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</si>
  <si>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</si>
  <si>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</si>
  <si>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</si>
  <si>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</si>
  <si>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</si>
  <si>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</si>
  <si>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</si>
  <si>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</si>
  <si>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</si>
  <si>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</si>
  <si>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</si>
  <si>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</si>
  <si>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</si>
  <si>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</si>
  <si>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</si>
  <si>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</si>
  <si>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</si>
  <si>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</si>
  <si>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</si>
  <si>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</si>
  <si>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</si>
  <si>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</si>
  <si>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</si>
  <si>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</si>
  <si>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</si>
  <si>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</si>
  <si>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</si>
  <si>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</si>
  <si>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</si>
  <si>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</si>
  <si>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</si>
  <si>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</si>
  <si>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</si>
  <si>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</si>
  <si>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</si>
  <si>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</si>
  <si>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</si>
  <si>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</si>
  <si>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</si>
  <si>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</si>
  <si>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</si>
  <si>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</si>
  <si>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</si>
  <si>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</si>
  <si>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</si>
  <si>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</si>
  <si>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</si>
  <si>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</si>
  <si>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</si>
  <si>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</si>
  <si>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</si>
  <si>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</si>
  <si>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</si>
  <si>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</si>
  <si>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</si>
  <si>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</si>
  <si>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</si>
  <si>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</si>
  <si>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</si>
  <si>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</si>
  <si>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</si>
  <si>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</si>
  <si>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</si>
  <si>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</si>
  <si>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</si>
  <si>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</si>
  <si>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</si>
  <si>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</si>
  <si>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</si>
  <si>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</si>
  <si>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</si>
  <si>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</si>
  <si>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</si>
  <si>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</si>
  <si>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</si>
  <si>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</si>
  <si>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</si>
  <si>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</si>
  <si>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</si>
  <si>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</si>
  <si>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</si>
  <si>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</si>
  <si>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</si>
  <si>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</si>
  <si>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</si>
  <si>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</si>
  <si>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</si>
  <si>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</si>
  <si>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</si>
  <si>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</si>
  <si>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</si>
  <si>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</si>
  <si>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</si>
  <si>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</si>
  <si>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</si>
  <si>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</si>
  <si>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</si>
  <si>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</si>
  <si>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</si>
  <si>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</si>
  <si>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</si>
  <si>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</si>
  <si>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</si>
  <si>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</si>
  <si>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</si>
  <si>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</si>
  <si>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</si>
  <si>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</si>
  <si>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</si>
  <si>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</si>
  <si>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</si>
  <si>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</si>
  <si>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</si>
  <si>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</si>
  <si>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</si>
  <si>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</si>
  <si>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</si>
  <si>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</si>
  <si>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</si>
  <si>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</si>
  <si>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</si>
  <si>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</si>
  <si>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</si>
  <si>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</si>
  <si>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</si>
  <si>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</si>
  <si>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</si>
  <si>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</si>
  <si>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</si>
  <si>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</si>
  <si>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</si>
  <si>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</si>
  <si>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</si>
  <si>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</si>
  <si>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</si>
  <si>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</si>
  <si>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</si>
  <si>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</si>
  <si>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</si>
  <si>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</si>
  <si>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</si>
  <si>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</si>
  <si>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</si>
  <si>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</si>
  <si>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</si>
  <si>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</si>
  <si>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</si>
  <si>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</si>
  <si>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</si>
  <si>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</si>
  <si>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</si>
  <si>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</si>
  <si>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</si>
  <si>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</si>
  <si>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</si>
  <si>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</si>
  <si>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</si>
  <si>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</si>
  <si>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</si>
  <si>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</si>
  <si>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</si>
  <si>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</si>
  <si>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</si>
  <si>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</si>
  <si>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</si>
  <si>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</si>
  <si>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</si>
  <si>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</si>
  <si>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</si>
  <si>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</si>
  <si>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</si>
  <si>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</si>
  <si>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</si>
  <si>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</si>
  <si>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</si>
  <si>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</si>
  <si>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</si>
  <si>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</si>
  <si>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</si>
  <si>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</si>
  <si>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</si>
  <si>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</si>
  <si>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</si>
  <si>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</si>
  <si>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</si>
  <si>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</si>
  <si>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</si>
  <si>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</si>
  <si>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</si>
  <si>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</si>
  <si>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</si>
  <si>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</si>
  <si>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</si>
  <si>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</si>
  <si>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</si>
  <si>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</si>
  <si>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</si>
  <si>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</si>
  <si>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</si>
  <si>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</si>
  <si>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</si>
  <si>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</si>
  <si>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</si>
  <si>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</si>
  <si>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</si>
  <si>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</si>
  <si>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</si>
  <si>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</si>
  <si>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</si>
  <si>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</si>
  <si>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</si>
  <si>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</si>
  <si>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</si>
  <si>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</si>
  <si>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</si>
  <si>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</si>
  <si>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</si>
  <si>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</si>
  <si>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</si>
  <si>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</si>
  <si>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</si>
  <si>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</si>
  <si>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</si>
  <si>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</si>
  <si>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</si>
  <si>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</si>
  <si>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</si>
  <si>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</si>
  <si>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</si>
  <si>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</si>
  <si>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</si>
  <si>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</si>
  <si>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</si>
  <si>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</si>
  <si>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</si>
  <si>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</si>
  <si>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</si>
  <si>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</si>
  <si>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</si>
  <si>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</si>
  <si>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</si>
  <si>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</si>
  <si>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</si>
  <si>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</si>
  <si>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</si>
  <si>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</si>
  <si>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</si>
  <si>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</si>
  <si>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</si>
  <si>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</si>
  <si>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</si>
  <si>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</si>
  <si>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</si>
  <si>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</si>
  <si>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</si>
  <si>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</si>
  <si>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</si>
  <si>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</si>
  <si>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</si>
  <si>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</si>
  <si>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</si>
  <si>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</si>
  <si>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</si>
  <si>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</si>
  <si>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</si>
  <si>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</si>
  <si>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</si>
  <si>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</si>
  <si>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</si>
  <si>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</si>
  <si>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</si>
  <si>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</si>
  <si>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</si>
  <si>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</si>
  <si>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</si>
  <si>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</si>
  <si>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</si>
  <si>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</si>
  <si>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</si>
  <si>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</si>
  <si>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</si>
  <si>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</si>
  <si>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</si>
  <si>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</si>
  <si>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</si>
  <si>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</si>
  <si>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</si>
  <si>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</si>
  <si>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</si>
  <si>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</si>
  <si>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</si>
  <si>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</si>
  <si>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</si>
  <si>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</si>
  <si>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</si>
  <si>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</si>
  <si>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</si>
  <si>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</si>
  <si>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</si>
  <si>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</si>
  <si>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</si>
  <si>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</si>
  <si>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</si>
  <si>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</si>
  <si>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</si>
  <si>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</si>
  <si>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</si>
  <si>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</si>
  <si>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</si>
  <si>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</si>
  <si>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</si>
  <si>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</si>
  <si>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</si>
  <si>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</si>
  <si>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</si>
  <si>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</si>
  <si>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</si>
  <si>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</si>
  <si>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</si>
  <si>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</si>
  <si>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</si>
  <si>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</si>
  <si>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</si>
  <si>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</si>
  <si>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</si>
  <si>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</si>
  <si>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</si>
  <si>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</si>
  <si>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</si>
  <si>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</si>
  <si>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</si>
  <si>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</si>
  <si>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</si>
  <si>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</si>
  <si>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</si>
  <si>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</si>
  <si>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</si>
  <si>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</si>
  <si>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</si>
  <si>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</si>
  <si>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</si>
  <si>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</si>
  <si>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</si>
  <si>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</si>
  <si>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</si>
  <si>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</si>
  <si>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</si>
  <si>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</si>
  <si>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</si>
  <si>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</si>
  <si>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</si>
  <si>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</si>
  <si>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</si>
  <si>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</si>
  <si>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</si>
  <si>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</si>
  <si>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</si>
  <si>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</si>
  <si>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</si>
  <si>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</si>
  <si>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</si>
  <si>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</si>
  <si>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</si>
  <si>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</si>
  <si>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</si>
  <si>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</si>
  <si>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</si>
  <si>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</si>
  <si>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</si>
  <si>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</si>
  <si>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</si>
  <si>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</si>
  <si>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</si>
  <si>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</si>
  <si>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</si>
  <si>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</si>
  <si>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</si>
  <si>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</si>
  <si>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</si>
  <si>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</si>
  <si>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</si>
  <si>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</si>
  <si>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</si>
  <si>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</si>
  <si>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</si>
  <si>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</si>
  <si>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</si>
  <si>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</si>
  <si>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</si>
  <si>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</si>
  <si>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</si>
  <si>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</si>
  <si>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</si>
  <si>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</si>
  <si>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</si>
  <si>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</si>
  <si>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</si>
  <si>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</si>
  <si>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</si>
  <si>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</si>
  <si>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</si>
  <si>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</si>
  <si>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</si>
  <si>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</si>
  <si>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</si>
  <si>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</si>
  <si>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</si>
  <si>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</si>
  <si>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</si>
  <si>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</si>
  <si>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</si>
  <si>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</si>
  <si>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</si>
  <si>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</si>
  <si>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</si>
  <si>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</si>
  <si>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</si>
  <si>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</si>
  <si>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Values For Display</t>
  </si>
  <si>
    <t>Orders</t>
  </si>
  <si>
    <t>Qty</t>
  </si>
  <si>
    <t xml:space="preserve">Amount </t>
  </si>
  <si>
    <t>Average Rating</t>
  </si>
  <si>
    <t>Avg.Days</t>
  </si>
  <si>
    <t>Row Labels</t>
  </si>
  <si>
    <t>Grand Total</t>
  </si>
  <si>
    <t>Jan</t>
  </si>
  <si>
    <t>Feb</t>
  </si>
  <si>
    <t>Mar</t>
  </si>
  <si>
    <t>Column Labels</t>
  </si>
  <si>
    <t>Female</t>
  </si>
  <si>
    <t>Male</t>
  </si>
  <si>
    <t>Other</t>
  </si>
  <si>
    <t>Unknown</t>
  </si>
  <si>
    <t>6 to 10</t>
  </si>
  <si>
    <t>More than 10</t>
  </si>
  <si>
    <t>Map Chart Stuff (Quantity)</t>
  </si>
  <si>
    <t xml:space="preserve">Map Chart for Amount </t>
  </si>
  <si>
    <t>Customer Satisfaction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</si>
</sst>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9" fontId="2" fillId="0" borderId="0" applyFont="0" applyFill="0" applyBorder="0" applyAlignment="0" applyProtection="0"/>
  </cellStyleXfs>
  <cellXfs count="2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3" borderId="1" xfId="0" applyFont="1" applyFill="1" applyBorder="1"/>
    <xf numFmtId="0" fontId="1" fillId="0" borderId="1" xfId="0" applyFont="1" applyBorder="1"/>
    <xf numFmtId="10"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0" fontId="0" fillId="0" borderId="2" xfId="0" applyBorder="1"/>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left" vertical="center"/>
    </xf>
    <xf numFmtId="165" fontId="0" fillId="0" borderId="6" xfId="1" applyNumberFormat="1" applyFont="1" applyBorder="1" applyAlignment="1">
      <alignment horizontal="center" vertical="center"/>
    </xf>
    <xf numFmtId="165" fontId="0" fillId="0" borderId="7" xfId="1" applyNumberFormat="1" applyFont="1" applyBorder="1" applyAlignment="1">
      <alignment horizontal="center" vertical="center"/>
    </xf>
    <xf numFmtId="0" fontId="0" fillId="0" borderId="8" xfId="0" applyBorder="1" applyAlignment="1">
      <alignment horizontal="left" vertical="center"/>
    </xf>
    <xf numFmtId="165" fontId="0" fillId="0" borderId="9" xfId="1" applyNumberFormat="1" applyFont="1" applyBorder="1" applyAlignment="1">
      <alignment horizontal="center" vertical="center"/>
    </xf>
    <xf numFmtId="165" fontId="0" fillId="0" borderId="10" xfId="1" applyNumberFormat="1" applyFont="1" applyBorder="1" applyAlignment="1">
      <alignment horizontal="center" vertical="center"/>
    </xf>
    <xf numFmtId="0" fontId="1" fillId="0" borderId="0" xfId="0" applyFont="1"/>
  </cellXfs>
  <cellStyles count="2">
    <cellStyle name="Normal" xfId="0" builtinId="0"/>
    <cellStyle name="Percent" xfId="1" builtinId="5"/>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 - Watkins Nguyen.xlsx]ECommerce Pivot!PvtTrend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Last</a:t>
            </a:r>
            <a:r>
              <a:rPr lang="en-US" b="1" baseline="0"/>
              <a:t> 13 weeks Trends - Qty Amount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2">
                <a:lumMod val="75000"/>
                <a:lumOff val="25000"/>
              </a:schemeClr>
            </a:solidFill>
            <a:round/>
          </a:ln>
          <a:effectLst/>
        </c:spPr>
        <c:marker>
          <c:symbol val="circle"/>
          <c:size val="5"/>
          <c:spPr>
            <a:solidFill>
              <a:schemeClr val="accent2"/>
            </a:solidFill>
            <a:ln w="9525">
              <a:solidFill>
                <a:schemeClr val="tx2">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'ECommerce Pivot'!$B$8</c:f>
              <c:strCache>
                <c:ptCount val="1"/>
                <c:pt idx="0">
                  <c:v>Sum of Quantity</c:v>
                </c:pt>
              </c:strCache>
            </c:strRef>
          </c:tx>
          <c:spPr>
            <a:ln w="28575" cap="rnd">
              <a:solidFill>
                <a:schemeClr val="accent5">
                  <a:lumMod val="75000"/>
                </a:schemeClr>
              </a:solidFill>
              <a:round/>
            </a:ln>
            <a:effectLst/>
          </c:spPr>
          <c:marker>
            <c:symbol val="circle"/>
            <c:size val="5"/>
            <c:spPr>
              <a:solidFill>
                <a:schemeClr val="accent1"/>
              </a:solidFill>
              <a:ln w="9525">
                <a:solidFill>
                  <a:schemeClr val="accent1"/>
                </a:solidFill>
              </a:ln>
              <a:effectLst/>
            </c:spPr>
          </c:marker>
          <c:cat>
            <c:strRef>
              <c:f>'ECommerce 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'ECommerce Pivot'!$B$9:$B$22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1"/>
          <c:extLst>
            <c:ext xmlns:c16="http://schemas.microsoft.com/office/drawing/2014/chart" uri="{C3380CC4-5D6E-409C-BE32-E72D297353CC}">
              <c16:uniqueId val="{00000000-4766-4FD4-81E9-08FA3BA7F115}"/>
            </c:ext>
          </c:extLst>
        </c:ser>
        <c:dLbls>
          <c:showLegendKey val="0"/>
          <c:showVal val="0"/>
          <c:showCatName val="0"/>
          <c:showSerName val="0"/>
          <c:showPercent val="0"/>
          <c:showBubbleSize val="0"/>
        </c:dLbls>
        <c:marker val="1"/>
        <c:smooth val="0"/>
        <c:axId val="312895600"/>
        <c:axId val="312900400"/>
      </c:lineChart>
      <c:lineChart>
        <c:grouping val="standard"/>
        <c:varyColors val="0"/>
        <c:ser>
          <c:idx val="1"/>
          <c:order val="1"/>
          <c:tx>
            <c:strRef>
              <c:f>'ECommerce Pivot'!$C$8</c:f>
              <c:strCache>
                <c:ptCount val="1"/>
                <c:pt idx="0">
                  <c:v>Sum of Amount</c:v>
                </c:pt>
              </c:strCache>
            </c:strRef>
          </c:tx>
          <c:spPr>
            <a:ln w="28575" cap="rnd">
              <a:solidFill>
                <a:schemeClr val="tx2">
                  <a:lumMod val="75000"/>
                  <a:lumOff val="25000"/>
                </a:schemeClr>
              </a:solidFill>
              <a:round/>
            </a:ln>
            <a:effectLst/>
          </c:spPr>
          <c:marker>
            <c:symbol val="circle"/>
            <c:size val="5"/>
            <c:spPr>
              <a:solidFill>
                <a:schemeClr val="accent2"/>
              </a:solidFill>
              <a:ln w="9525">
                <a:solidFill>
                  <a:schemeClr val="tx2">
                    <a:lumMod val="75000"/>
                    <a:lumOff val="25000"/>
                  </a:schemeClr>
                </a:solidFill>
              </a:ln>
              <a:effectLst/>
            </c:spPr>
          </c:marker>
          <c:cat>
            <c:strRef>
              <c:f>'ECommerce Pivot'!$A$9:$A$22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'ECommerce Pivot'!$C$9:$C$22</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1"/>
          <c:extLst>
            <c:ext xmlns:c16="http://schemas.microsoft.com/office/drawing/2014/chart" uri="{C3380CC4-5D6E-409C-BE32-E72D297353CC}">
              <c16:uniqueId val="{00000001-4766-4FD4-81E9-08FA3BA7F115}"/>
            </c:ext>
          </c:extLst>
        </c:ser>
        <c:dLbls>
          <c:showLegendKey val="0"/>
          <c:showVal val="0"/>
          <c:showCatName val="0"/>
          <c:showSerName val="0"/>
          <c:showPercent val="0"/>
          <c:showBubbleSize val="0"/>
        </c:dLbls>
        <c:marker val="1"/>
        <c:smooth val="0"/>
        <c:axId val="312922480"/>
        <c:axId val="312922000"/>
      </c:lineChart>
      <c:catAx>
        <c:axId val="31289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00400"/>
        <c:crosses val="autoZero"/>
        <c:auto val="1"/>
        <c:lblAlgn val="ctr"/>
        <c:lblOffset val="100"/>
        <c:noMultiLvlLbl val="0"/>
      </c:catAx>
      <c:valAx>
        <c:axId val="312900400"/>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895600"/>
        <c:crosses val="autoZero"/>
        <c:crossBetween val="between"/>
      </c:valAx>
      <c:valAx>
        <c:axId val="312922000"/>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922480"/>
        <c:crosses val="max"/>
        <c:crossBetween val="between"/>
      </c:valAx>
      <c:catAx>
        <c:axId val="312922480"/>
        <c:scaling>
          <c:orientation val="minMax"/>
        </c:scaling>
        <c:delete val="1"/>
        <c:axPos val="b"/>
        <c:numFmt formatCode="General" sourceLinked="1"/>
        <c:majorTickMark val="out"/>
        <c:minorTickMark val="none"/>
        <c:tickLblPos val="nextTo"/>
        <c:crossAx val="3129220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 - Watkins Nguyen.xlsx]ECommerce Pivot!PvtQuantity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ptos Narrow "/>
              </a:rPr>
              <a:t>How many</a:t>
            </a:r>
            <a:r>
              <a:rPr lang="en-US" b="1" baseline="0">
                <a:latin typeface="Aptos Narrow "/>
              </a:rPr>
              <a:t> they buy</a:t>
            </a:r>
            <a:endParaRPr lang="en-US" b="1">
              <a:latin typeface="Aptos Narrow "/>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Pivot'!$B$35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'ECommerce Pivot'!$A$36:$A$43</c:f>
              <c:strCache>
                <c:ptCount val="7"/>
                <c:pt idx="0">
                  <c:v>1</c:v>
                </c:pt>
                <c:pt idx="1">
                  <c:v>2</c:v>
                </c:pt>
                <c:pt idx="2">
                  <c:v>3</c:v>
                </c:pt>
                <c:pt idx="3">
                  <c:v>4</c:v>
                </c:pt>
                <c:pt idx="4">
                  <c:v>5</c:v>
                </c:pt>
                <c:pt idx="5">
                  <c:v>6 to 10</c:v>
                </c:pt>
                <c:pt idx="6">
                  <c:v>More than 10</c:v>
                </c:pt>
              </c:strCache>
            </c:strRef>
          </c:cat>
          <c:val>
            <c:numRef>
              <c:f>'ECommerce Pivot'!$B$36:$B$43</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DCC3-4721-B5D8-81BBF969C4D1}"/>
            </c:ext>
          </c:extLst>
        </c:ser>
        <c:dLbls>
          <c:dLblPos val="outEnd"/>
          <c:showLegendKey val="0"/>
          <c:showVal val="1"/>
          <c:showCatName val="0"/>
          <c:showSerName val="0"/>
          <c:showPercent val="0"/>
          <c:showBubbleSize val="0"/>
        </c:dLbls>
        <c:gapWidth val="0"/>
        <c:overlap val="-27"/>
        <c:axId val="411344783"/>
        <c:axId val="411341903"/>
      </c:barChart>
      <c:catAx>
        <c:axId val="41134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341903"/>
        <c:crosses val="autoZero"/>
        <c:auto val="1"/>
        <c:lblAlgn val="ctr"/>
        <c:lblOffset val="100"/>
        <c:noMultiLvlLbl val="0"/>
      </c:catAx>
      <c:valAx>
        <c:axId val="4113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34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 - Watkins Nguyen.xlsx]ECommerce Pivot!PvtProduct</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b="1"/>
              <a:t>Which</a:t>
            </a:r>
            <a:r>
              <a:rPr lang="en-US" b="1" baseline="0"/>
              <a:t> Products are Popular</a:t>
            </a:r>
            <a:r>
              <a:rPr lang="en-US" baseline="0"/>
              <a:t>? Breakdown by Gender</a:t>
            </a:r>
            <a:endParaRPr lang="en-US"/>
          </a:p>
        </c:rich>
      </c:tx>
      <c:layout>
        <c:manualLayout>
          <c:xMode val="edge"/>
          <c:yMode val="edge"/>
          <c:x val="0.10082584725540431"/>
          <c:y val="0"/>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6813029104274"/>
          <c:y val="4.2208302751750248E-2"/>
          <c:w val="0.6040380347971599"/>
          <c:h val="0.90930586972297289"/>
        </c:manualLayout>
      </c:layout>
      <c:barChart>
        <c:barDir val="bar"/>
        <c:grouping val="stacked"/>
        <c:varyColors val="0"/>
        <c:ser>
          <c:idx val="0"/>
          <c:order val="0"/>
          <c:tx>
            <c:strRef>
              <c:f>'ECommerce Pivot'!$B$46:$B$47</c:f>
              <c:strCache>
                <c:ptCount val="1"/>
                <c:pt idx="0">
                  <c:v>Female</c:v>
                </c:pt>
              </c:strCache>
            </c:strRef>
          </c:tx>
          <c:spPr>
            <a:solidFill>
              <a:schemeClr val="accent1"/>
            </a:solidFill>
            <a:ln>
              <a:noFill/>
            </a:ln>
            <a:effectLst/>
          </c:spPr>
          <c:invertIfNegative val="0"/>
          <c:cat>
            <c:strRef>
              <c:f>'ECommerce Pivot'!$A$48:$A$67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'ECommerce Pivot'!$B$48:$B$67</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A951-4336-A9F4-00B2CF92AD65}"/>
            </c:ext>
          </c:extLst>
        </c:ser>
        <c:ser>
          <c:idx val="1"/>
          <c:order val="1"/>
          <c:tx>
            <c:strRef>
              <c:f>'ECommerce Pivot'!$C$46:$C$47</c:f>
              <c:strCache>
                <c:ptCount val="1"/>
                <c:pt idx="0">
                  <c:v>Male</c:v>
                </c:pt>
              </c:strCache>
            </c:strRef>
          </c:tx>
          <c:spPr>
            <a:solidFill>
              <a:schemeClr val="accent2"/>
            </a:solidFill>
            <a:ln>
              <a:noFill/>
            </a:ln>
            <a:effectLst/>
          </c:spPr>
          <c:invertIfNegative val="0"/>
          <c:cat>
            <c:strRef>
              <c:f>'ECommerce Pivot'!$A$48:$A$67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'ECommerce Pivot'!$C$48:$C$67</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A951-4336-A9F4-00B2CF92AD65}"/>
            </c:ext>
          </c:extLst>
        </c:ser>
        <c:ser>
          <c:idx val="2"/>
          <c:order val="2"/>
          <c:tx>
            <c:strRef>
              <c:f>'ECommerce Pivot'!$D$46:$D$47</c:f>
              <c:strCache>
                <c:ptCount val="1"/>
                <c:pt idx="0">
                  <c:v>Other</c:v>
                </c:pt>
              </c:strCache>
            </c:strRef>
          </c:tx>
          <c:spPr>
            <a:solidFill>
              <a:schemeClr val="accent3"/>
            </a:solidFill>
            <a:ln>
              <a:noFill/>
            </a:ln>
            <a:effectLst/>
          </c:spPr>
          <c:invertIfNegative val="0"/>
          <c:cat>
            <c:strRef>
              <c:f>'ECommerce Pivot'!$A$48:$A$67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'ECommerce Pivot'!$D$48:$D$67</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A951-4336-A9F4-00B2CF92AD65}"/>
            </c:ext>
          </c:extLst>
        </c:ser>
        <c:ser>
          <c:idx val="3"/>
          <c:order val="3"/>
          <c:tx>
            <c:strRef>
              <c:f>'ECommerce Pivot'!$E$46:$E$47</c:f>
              <c:strCache>
                <c:ptCount val="1"/>
                <c:pt idx="0">
                  <c:v>Unknown</c:v>
                </c:pt>
              </c:strCache>
            </c:strRef>
          </c:tx>
          <c:spPr>
            <a:solidFill>
              <a:schemeClr val="accent4"/>
            </a:solidFill>
            <a:ln>
              <a:noFill/>
            </a:ln>
            <a:effectLst/>
          </c:spPr>
          <c:invertIfNegative val="0"/>
          <c:cat>
            <c:strRef>
              <c:f>'ECommerce Pivot'!$A$48:$A$67</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'ECommerce Pivot'!$E$48:$E$67</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A951-4336-A9F4-00B2CF92AD65}"/>
            </c:ext>
          </c:extLst>
        </c:ser>
        <c:dLbls>
          <c:showLegendKey val="0"/>
          <c:showVal val="0"/>
          <c:showCatName val="0"/>
          <c:showSerName val="0"/>
          <c:showPercent val="0"/>
          <c:showBubbleSize val="0"/>
        </c:dLbls>
        <c:gapWidth val="10"/>
        <c:overlap val="100"/>
        <c:axId val="487881247"/>
        <c:axId val="281466079"/>
      </c:barChart>
      <c:catAx>
        <c:axId val="487881247"/>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466079"/>
        <c:crosses val="autoZero"/>
        <c:auto val="1"/>
        <c:lblAlgn val="ctr"/>
        <c:lblOffset val="100"/>
        <c:noMultiLvlLbl val="0"/>
      </c:catAx>
      <c:valAx>
        <c:axId val="281466079"/>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881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 - Watkins Nguyen.xlsx]ECommerce Pivot!PivotTable6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8621459382824045E-2"/>
              <c:y val="0.28414080288462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93074663865892"/>
              <c:y val="0.162137798811470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0199582626055435"/>
              <c:y val="-0.148038859784386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946953471854679"/>
                  <c:h val="0.17602525375314867"/>
                </c:manualLayout>
              </c15:layout>
            </c:ext>
          </c:extLst>
        </c:dLbl>
      </c:pivotFmt>
      <c:pivotFmt>
        <c:idx val="10"/>
        <c:spPr>
          <a:solidFill>
            <a:schemeClr val="accent1"/>
          </a:solidFill>
          <a:ln w="19050">
            <a:solidFill>
              <a:schemeClr val="lt1"/>
            </a:solidFill>
          </a:ln>
          <a:effectLst/>
        </c:spPr>
        <c:dLbl>
          <c:idx val="0"/>
          <c:layout>
            <c:manualLayout>
              <c:x val="0.11492865976893608"/>
              <c:y val="-0.1057417651649631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035386290280563"/>
                  <c:h val="0.22526607584341074"/>
                </c:manualLayout>
              </c15:layout>
            </c:ext>
          </c:extLst>
        </c:dLbl>
      </c:pivotFmt>
    </c:pivotFmts>
    <c:plotArea>
      <c:layout/>
      <c:doughnutChart>
        <c:varyColors val="1"/>
        <c:ser>
          <c:idx val="0"/>
          <c:order val="0"/>
          <c:tx>
            <c:strRef>
              <c:f>'ECommerce Pivot'!$I$46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74-498A-9245-243D6E379D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74-498A-9245-243D6E379D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74-498A-9245-243D6E379D1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74-498A-9245-243D6E379D12}"/>
              </c:ext>
            </c:extLst>
          </c:dPt>
          <c:dLbls>
            <c:dLbl>
              <c:idx val="0"/>
              <c:layout>
                <c:manualLayout>
                  <c:x val="9.8621459382824045E-2"/>
                  <c:y val="0.2841408028846207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074-498A-9245-243D6E379D12}"/>
                </c:ext>
              </c:extLst>
            </c:dLbl>
            <c:dLbl>
              <c:idx val="1"/>
              <c:layout>
                <c:manualLayout>
                  <c:x val="-0.1393074663865892"/>
                  <c:y val="0.1621377988114705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074-498A-9245-243D6E379D12}"/>
                </c:ext>
              </c:extLst>
            </c:dLbl>
            <c:dLbl>
              <c:idx val="2"/>
              <c:layout>
                <c:manualLayout>
                  <c:x val="-0.20199582626055435"/>
                  <c:y val="-0.14803885978438613"/>
                </c:manualLayout>
              </c:layout>
              <c:showLegendKey val="0"/>
              <c:showVal val="0"/>
              <c:showCatName val="1"/>
              <c:showSerName val="0"/>
              <c:showPercent val="1"/>
              <c:showBubbleSize val="0"/>
              <c:extLst>
                <c:ext xmlns:c15="http://schemas.microsoft.com/office/drawing/2012/chart" uri="{CE6537A1-D6FC-4f65-9D91-7224C49458BB}">
                  <c15:layout>
                    <c:manualLayout>
                      <c:w val="0.23946953471854679"/>
                      <c:h val="0.17602525375314867"/>
                    </c:manualLayout>
                  </c15:layout>
                </c:ext>
                <c:ext xmlns:c16="http://schemas.microsoft.com/office/drawing/2014/chart" uri="{C3380CC4-5D6E-409C-BE32-E72D297353CC}">
                  <c16:uniqueId val="{00000005-6074-498A-9245-243D6E379D12}"/>
                </c:ext>
              </c:extLst>
            </c:dLbl>
            <c:dLbl>
              <c:idx val="3"/>
              <c:layout>
                <c:manualLayout>
                  <c:x val="0.11492865976893608"/>
                  <c:y val="-0.1057417651649631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6035386290280563"/>
                      <c:h val="0.22526607584341074"/>
                    </c:manualLayout>
                  </c15:layout>
                </c:ext>
                <c:ext xmlns:c16="http://schemas.microsoft.com/office/drawing/2014/chart" uri="{C3380CC4-5D6E-409C-BE32-E72D297353CC}">
                  <c16:uniqueId val="{00000007-6074-498A-9245-243D6E379D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'ECommerce Pivot'!$H$47:$H$50</c:f>
              <c:strCache>
                <c:ptCount val="4"/>
                <c:pt idx="0">
                  <c:v>Female</c:v>
                </c:pt>
                <c:pt idx="1">
                  <c:v>Male</c:v>
                </c:pt>
                <c:pt idx="2">
                  <c:v>Other</c:v>
                </c:pt>
                <c:pt idx="3">
                  <c:v>Unknown</c:v>
                </c:pt>
              </c:strCache>
            </c:strRef>
          </c:cat>
          <c:val>
            <c:numRef>
              <c:f>'ECommerce Pivot'!$I$47:$I$50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6074-498A-9245-243D6E379D12}"/>
            </c:ext>
          </c:extLst>
        </c:ser>
        <c:dLbls>
          <c:showLegendKey val="0"/>
          <c:showVal val="0"/>
          <c:showCatName val="0"/>
          <c:showSerName val="0"/>
          <c:showPercent val="0"/>
          <c:showBubbleSize val="0"/>
          <c:showLeaderLines val="1"/>
        </c:dLbls>
        <c:firstSliceAng val="0"/>
        <c:holeSize val="46"/>
      </c:doughnutChart>
      <c:spPr>
        <a:noFill/>
        <a:ln>
          <a:noFill/>
        </a:ln>
        <a:effectLst>
          <a:glow rad="4445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alpha val="76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 - Watkins Nguyen.xlsx]ECommerce Pivot!Pvt Customer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rPr>
              <a:t>How</a:t>
            </a:r>
            <a:r>
              <a:rPr lang="en-US" b="1" baseline="0">
                <a:latin typeface="+mn-lt"/>
              </a:rPr>
              <a:t> long we take to ship?</a:t>
            </a:r>
            <a:endParaRPr lang="en-US" b="1">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Pivot'!$B$133</c:f>
              <c:strCache>
                <c:ptCount val="1"/>
                <c:pt idx="0">
                  <c:v>Total</c:v>
                </c:pt>
              </c:strCache>
            </c:strRef>
          </c:tx>
          <c:spPr>
            <a:solidFill>
              <a:schemeClr val="accent1"/>
            </a:solidFill>
            <a:ln>
              <a:noFill/>
            </a:ln>
            <a:effectLst/>
          </c:spPr>
          <c:invertIfNegative val="0"/>
          <c:cat>
            <c:strRef>
              <c:f>'ECommerce Pivot'!$A$134:$A$149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'ECommerce Pivot'!$B$134:$B$149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35E4-4DA2-A482-F07C8A342FE9}"/>
            </c:ext>
          </c:extLst>
        </c:ser>
        <c:dLbls>
          <c:showLegendKey val="0"/>
          <c:showVal val="0"/>
          <c:showCatName val="0"/>
          <c:showSerName val="0"/>
          <c:showPercent val="0"/>
          <c:showBubbleSize val="0"/>
        </c:dLbls>
        <c:gapWidth val="0"/>
        <c:overlap val="-27"/>
        <c:axId val="582356383"/>
        <c:axId val="582357343"/>
      </c:barChart>
      <c:catAx>
        <c:axId val="58235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57343"/>
        <c:crosses val="autoZero"/>
        <c:auto val="1"/>
        <c:lblAlgn val="ctr"/>
        <c:lblOffset val="100"/>
        <c:noMultiLvlLbl val="0"/>
      </c:catAx>
      <c:valAx>
        <c:axId val="582357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35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 Commerce Project - Watkins Nguyen.xlsx]ECommerce Pivot!PvtCustomer Satisfaction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ptos Narrow "/>
              </a:rPr>
              <a:t>How</a:t>
            </a:r>
            <a:r>
              <a:rPr lang="en-US" b="1" baseline="0">
                <a:latin typeface="Aptos Narrow "/>
              </a:rPr>
              <a:t> satisfied are our customers?</a:t>
            </a:r>
            <a:endParaRPr lang="en-US" b="1">
              <a:latin typeface="Aptos Narrow "/>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'ECommerce Pivot'!$B$153:$B$154</c:f>
              <c:strCache>
                <c:ptCount val="1"/>
                <c:pt idx="0">
                  <c:v>1</c:v>
                </c:pt>
              </c:strCache>
            </c:strRef>
          </c:tx>
          <c:spPr>
            <a:solidFill>
              <a:schemeClr val="accent1"/>
            </a:solidFill>
            <a:ln>
              <a:noFill/>
            </a:ln>
            <a:effectLst/>
          </c:spPr>
          <c:invertIfNegative val="0"/>
          <c:cat>
            <c:strRef>
              <c:f>'ECommerce Pivot'!$A$155:$A$158</c:f>
              <c:strCache>
                <c:ptCount val="3"/>
                <c:pt idx="0">
                  <c:v>Jan</c:v>
                </c:pt>
                <c:pt idx="1">
                  <c:v>Feb</c:v>
                </c:pt>
                <c:pt idx="2">
                  <c:v>Mar</c:v>
                </c:pt>
              </c:strCache>
            </c:strRef>
          </c:cat>
          <c:val>
            <c:numRef>
              <c:f>'ECommerce Pivot'!$B$155:$B$158</c:f>
              <c:numCache>
                <c:formatCode>General</c:formatCode>
                <c:ptCount val="3"/>
                <c:pt idx="0">
                  <c:v>7</c:v>
                </c:pt>
                <c:pt idx="1">
                  <c:v>8</c:v>
                </c:pt>
                <c:pt idx="2">
                  <c:v>6</c:v>
                </c:pt>
              </c:numCache>
            </c:numRef>
          </c:val>
          <c:extLst>
            <c:ext xmlns:c16="http://schemas.microsoft.com/office/drawing/2014/chart" uri="{C3380CC4-5D6E-409C-BE32-E72D297353CC}">
              <c16:uniqueId val="{00000000-B319-4058-8C96-111B9E23201F}"/>
            </c:ext>
          </c:extLst>
        </c:ser>
        <c:ser>
          <c:idx val="1"/>
          <c:order val="1"/>
          <c:tx>
            <c:strRef>
              <c:f>'ECommerce Pivot'!$C$153:$C$154</c:f>
              <c:strCache>
                <c:ptCount val="1"/>
                <c:pt idx="0">
                  <c:v>2</c:v>
                </c:pt>
              </c:strCache>
            </c:strRef>
          </c:tx>
          <c:spPr>
            <a:solidFill>
              <a:schemeClr val="accent2"/>
            </a:solidFill>
            <a:ln>
              <a:noFill/>
            </a:ln>
            <a:effectLst/>
          </c:spPr>
          <c:invertIfNegative val="0"/>
          <c:cat>
            <c:strRef>
              <c:f>'ECommerce Pivot'!$A$155:$A$158</c:f>
              <c:strCache>
                <c:ptCount val="3"/>
                <c:pt idx="0">
                  <c:v>Jan</c:v>
                </c:pt>
                <c:pt idx="1">
                  <c:v>Feb</c:v>
                </c:pt>
                <c:pt idx="2">
                  <c:v>Mar</c:v>
                </c:pt>
              </c:strCache>
            </c:strRef>
          </c:cat>
          <c:val>
            <c:numRef>
              <c:f>'ECommerce Pivot'!$C$155:$C$158</c:f>
              <c:numCache>
                <c:formatCode>General</c:formatCode>
                <c:ptCount val="3"/>
                <c:pt idx="0">
                  <c:v>37</c:v>
                </c:pt>
                <c:pt idx="1">
                  <c:v>51</c:v>
                </c:pt>
                <c:pt idx="2">
                  <c:v>39</c:v>
                </c:pt>
              </c:numCache>
            </c:numRef>
          </c:val>
          <c:extLst>
            <c:ext xmlns:c16="http://schemas.microsoft.com/office/drawing/2014/chart" uri="{C3380CC4-5D6E-409C-BE32-E72D297353CC}">
              <c16:uniqueId val="{00000001-B319-4058-8C96-111B9E23201F}"/>
            </c:ext>
          </c:extLst>
        </c:ser>
        <c:ser>
          <c:idx val="2"/>
          <c:order val="2"/>
          <c:tx>
            <c:strRef>
              <c:f>'ECommerce Pivot'!$D$153:$D$154</c:f>
              <c:strCache>
                <c:ptCount val="1"/>
                <c:pt idx="0">
                  <c:v>3</c:v>
                </c:pt>
              </c:strCache>
            </c:strRef>
          </c:tx>
          <c:spPr>
            <a:solidFill>
              <a:schemeClr val="accent3"/>
            </a:solidFill>
            <a:ln>
              <a:noFill/>
            </a:ln>
            <a:effectLst/>
          </c:spPr>
          <c:invertIfNegative val="0"/>
          <c:cat>
            <c:strRef>
              <c:f>'ECommerce Pivot'!$A$155:$A$158</c:f>
              <c:strCache>
                <c:ptCount val="3"/>
                <c:pt idx="0">
                  <c:v>Jan</c:v>
                </c:pt>
                <c:pt idx="1">
                  <c:v>Feb</c:v>
                </c:pt>
                <c:pt idx="2">
                  <c:v>Mar</c:v>
                </c:pt>
              </c:strCache>
            </c:strRef>
          </c:cat>
          <c:val>
            <c:numRef>
              <c:f>'ECommerce Pivot'!$D$155:$D$158</c:f>
              <c:numCache>
                <c:formatCode>General</c:formatCode>
                <c:ptCount val="3"/>
                <c:pt idx="0">
                  <c:v>150</c:v>
                </c:pt>
                <c:pt idx="1">
                  <c:v>182</c:v>
                </c:pt>
                <c:pt idx="2">
                  <c:v>163</c:v>
                </c:pt>
              </c:numCache>
            </c:numRef>
          </c:val>
          <c:extLst>
            <c:ext xmlns:c16="http://schemas.microsoft.com/office/drawing/2014/chart" uri="{C3380CC4-5D6E-409C-BE32-E72D297353CC}">
              <c16:uniqueId val="{00000002-B319-4058-8C96-111B9E23201F}"/>
            </c:ext>
          </c:extLst>
        </c:ser>
        <c:ser>
          <c:idx val="3"/>
          <c:order val="3"/>
          <c:tx>
            <c:strRef>
              <c:f>'ECommerce Pivot'!$E$153:$E$154</c:f>
              <c:strCache>
                <c:ptCount val="1"/>
                <c:pt idx="0">
                  <c:v>4</c:v>
                </c:pt>
              </c:strCache>
            </c:strRef>
          </c:tx>
          <c:spPr>
            <a:solidFill>
              <a:schemeClr val="accent4"/>
            </a:solidFill>
            <a:ln>
              <a:noFill/>
            </a:ln>
            <a:effectLst/>
          </c:spPr>
          <c:invertIfNegative val="0"/>
          <c:cat>
            <c:strRef>
              <c:f>'ECommerce Pivot'!$A$155:$A$158</c:f>
              <c:strCache>
                <c:ptCount val="3"/>
                <c:pt idx="0">
                  <c:v>Jan</c:v>
                </c:pt>
                <c:pt idx="1">
                  <c:v>Feb</c:v>
                </c:pt>
                <c:pt idx="2">
                  <c:v>Mar</c:v>
                </c:pt>
              </c:strCache>
            </c:strRef>
          </c:cat>
          <c:val>
            <c:numRef>
              <c:f>'ECommerce Pivot'!$E$155:$E$158</c:f>
              <c:numCache>
                <c:formatCode>General</c:formatCode>
                <c:ptCount val="3"/>
                <c:pt idx="0">
                  <c:v>312</c:v>
                </c:pt>
                <c:pt idx="1">
                  <c:v>373</c:v>
                </c:pt>
                <c:pt idx="2">
                  <c:v>351</c:v>
                </c:pt>
              </c:numCache>
            </c:numRef>
          </c:val>
          <c:extLst>
            <c:ext xmlns:c16="http://schemas.microsoft.com/office/drawing/2014/chart" uri="{C3380CC4-5D6E-409C-BE32-E72D297353CC}">
              <c16:uniqueId val="{00000003-B319-4058-8C96-111B9E23201F}"/>
            </c:ext>
          </c:extLst>
        </c:ser>
        <c:ser>
          <c:idx val="4"/>
          <c:order val="4"/>
          <c:tx>
            <c:strRef>
              <c:f>'ECommerce Pivot'!$F$153:$F$154</c:f>
              <c:strCache>
                <c:ptCount val="1"/>
                <c:pt idx="0">
                  <c:v>5</c:v>
                </c:pt>
              </c:strCache>
            </c:strRef>
          </c:tx>
          <c:spPr>
            <a:solidFill>
              <a:schemeClr val="accent5"/>
            </a:solidFill>
            <a:ln>
              <a:noFill/>
            </a:ln>
            <a:effectLst/>
          </c:spPr>
          <c:invertIfNegative val="0"/>
          <c:cat>
            <c:strRef>
              <c:f>'ECommerce Pivot'!$A$155:$A$158</c:f>
              <c:strCache>
                <c:ptCount val="3"/>
                <c:pt idx="0">
                  <c:v>Jan</c:v>
                </c:pt>
                <c:pt idx="1">
                  <c:v>Feb</c:v>
                </c:pt>
                <c:pt idx="2">
                  <c:v>Mar</c:v>
                </c:pt>
              </c:strCache>
            </c:strRef>
          </c:cat>
          <c:val>
            <c:numRef>
              <c:f>'ECommerce Pivot'!$F$155:$F$158</c:f>
              <c:numCache>
                <c:formatCode>General</c:formatCode>
                <c:ptCount val="3"/>
                <c:pt idx="0">
                  <c:v>224</c:v>
                </c:pt>
                <c:pt idx="1">
                  <c:v>247</c:v>
                </c:pt>
                <c:pt idx="2">
                  <c:v>250</c:v>
                </c:pt>
              </c:numCache>
            </c:numRef>
          </c:val>
          <c:extLst>
            <c:ext xmlns:c16="http://schemas.microsoft.com/office/drawing/2014/chart" uri="{C3380CC4-5D6E-409C-BE32-E72D297353CC}">
              <c16:uniqueId val="{00000004-B319-4058-8C96-111B9E23201F}"/>
            </c:ext>
          </c:extLst>
        </c:ser>
        <c:dLbls>
          <c:showLegendKey val="0"/>
          <c:showVal val="0"/>
          <c:showCatName val="0"/>
          <c:showSerName val="0"/>
          <c:showPercent val="0"/>
          <c:showBubbleSize val="0"/>
        </c:dLbls>
        <c:gapWidth val="219"/>
        <c:overlap val="-27"/>
        <c:axId val="487966095"/>
        <c:axId val="487966575"/>
      </c:barChart>
      <c:catAx>
        <c:axId val="48796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66575"/>
        <c:crosses val="autoZero"/>
        <c:auto val="1"/>
        <c:lblAlgn val="ctr"/>
        <c:lblOffset val="100"/>
        <c:noMultiLvlLbl val="0"/>
      </c:catAx>
      <c:valAx>
        <c:axId val="48796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96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Where do our customers live?</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Aptos Narrow" panose="02110004020202020204"/>
            </a:rPr>
            <a:t>Where do our customers live?</a:t>
          </a:r>
        </a:p>
      </cx:txPr>
    </cx:title>
    <cx:plotArea>
      <cx:plotAreaRegion>
        <cx:series layoutId="regionMap" uniqueId="{D7E9F2A8-DCD3-42A3-B2A9-207B435E6D22}">
          <cx:tx>
            <cx:txData>
              <cx:f>_xlchart.v5.2</cx:f>
              <cx:v>Sum of Quantity</cx:v>
            </cx:txData>
          </cx:tx>
          <cx:dataPt idx="30">
            <cx:spPr>
              <a:ln>
                <a:solidFill>
                  <a:srgbClr val="9FBFAD">
                    <a:shade val="15000"/>
                  </a:srgbClr>
                </a:solidFill>
              </a:ln>
            </cx:spPr>
          </cx:dataPt>
          <cx:dataId val="0"/>
          <cx:layoutPr>
            <cx:geography viewedRegionType="dataOnly" cultureLanguage="en-US" cultureRegion="US" attribution="Powered by Bing">
              <cx:geoCache provider="{E9337A44-BEBE-4D9F-B70C-5C5E7DAFC167}">
                <cx:binary>3H1pc9u4svZfSeXzSw8WgiBO3TlVA2qxvCd2tvnCUmyFO0ES3H/9bdpOjkXJOXTVqOq9UiY1sakG
m3zQ6BWN/7lv/3Ufb9bFuzaJU/2v+/bP935ZZv/64w9972+StT5JgvtCafWjPLlXyR/qx4/gfvPH
Q7FugtT7gyBs/nHvr4ty077/9//AaN5GXaj7dRmo9EO1KbqPG13Fpf7Ntb2X3q0fkiCdBbosgvsS
//neWcfBD1Wkwfr99jXy5/t5/G6mivWDeueoKi279+82aRmU3V2Xbf58vzUSef/uj/ENd5h7FwP/
ZfUAxNQ+4URYjFDx/Hn/Llap93zZwASdcCGwaTMLDR/88+ZX6wTo38TaI2Prh4diozU85OP/9w2x
9UTwav6a8kruh1cz4OEBNH++/5QG5ebh3W25Ljf6/btAq8d3V3SOGp770+3ji/pjG9F//8/oF/Dq
Rr95Afr4Pf+3S9u4/hfMYT6s602x1gfBHAuLYML5I6QIJs0Yc8tGglDT2kb7TUztR3t3iAlo7xId
Gdq36/Sd3MCUPYSIWyc2IwwTyl4RcXxiIoIsPIb7bVztx3vPGBMA30N1ZIj/FcP6+bA+gHTzExuZ
NrGt5yWdj6WbnBBOTG6B2D/pkael/A0c7Yd6PMAEnMckRwbyTby+3xQHwNg+sQUftLJ4WsHpGGN8
grhJMSK/RP4l1NP52o/0iH4C0COKI8P5rzgL0s1BcLYEZRZm5hOO9ghnLE44fBjj5liYp3K0H+HR
E01AeERxZAifVsl3FT+U/zzGJhjYNuhek4CxtW2GmSfYwhTBWv6E/jbEb2FpP8g7I0yAeYfmyICe
beJ3Vwr8vQMgjU84Mzkn+BnPHc1snhBkUtDMI9X8Jqb2Y707xASwd4mODO2/EvCqD6OgKVhYiNiw
Lm8LNYg7J0RQ9KS6R/70dIb2wzyin4DxiOLIAB4ciUsIARzCr+Inpg3iDAr6aXneEWcwtImNTWGO
QH4TU/tx3h1iAtS7REeG9tU6O4RHZZ8QAR4TJvgVaxuAtoWJmD1at6fysx/jLeoJ8G59/8iQvdyk
D+o+SA8hx+IEZFQIzp/hBWndXrIpqGVuUSpAwl+6UW9iaj/Gu0NMAHqX6MjQvlhHB7C/qDgB6wpz
BMr38bMT9yQnAjNs2XwU95zKz36Mt6gnwLv1/SND1lFxpQ+xRguQUYhYg6v8KrYI2dQSJtsW4ukc
7Ud3RD8B3xHFkSEsq/IQzhMI7xDCBiX7SiiE4BPGTAuDlt4GeDJD+/HdJp8A7zbBkaHrKEiyDfKr
y0NIsX2CBueYUsg5Dp9xvIuQE0whF8kxXHmpit/K136s944yAfK9dEeG/AKytgcxv6wTTrHFGMZP
mIuR+TXEOG0Gf/Bo5Z7O0X60R/QTcB5RHBnCl+siSP/5sBflJ4KbjDP0nJDaI9SMYtvig7i/FOrJ
DO3Hd5t8ArzbBEeG7jLepIdAF/QyQQyL3fA1rNXCxpyykVc8mZP9sG6TT4B1m+DIYD2HMqVD1IhY
JxTqQ4hpvlI0AKuyBdfA2ho5xZMZ2o/uNvkEdLcJjg3dTXEImWUnlD+a0k81XUNR11bEA8Ad7DAM
U2B7RT6fyM8r2L6kngLty+8fGbKrJNsUwTo+gL4lULFHbDak/x8/4+IAzE4Y2FsMQ4Ji+Iz8pbdw
th/nnREmYL1Dc2R4f6u+H8JhGmKXGKAUr5XygVcM4SzbtGAWvLStpvKzH+Et6gnobn3/yJC93BT3
UGnq/OOlufyEIktYtvWcLt6xmxEkoAB5zM19cjydr/0Yj+gnoDyiODKcV2l3iOwDVGciAiY0f45r
7bi/NpjRwrJse+QdTeVnP7pb1BOw3fr+kSF7ofS7v1JvE28OYUmbJ4gRQu2flvRYjDGkF00K5QKQ
mdijjt/I3H609w0yAfR9ZMeG/VrrzQFsbCjrAsUMBZrkEVSExlYYbKyw4LIJcY9tzXwxmaNXsN6m
nwLzNsWRIXy5foB9FAfQz9YJ7KKA6AZEtn4K7pYXBQgjC6LVJoY1/aXtNZ2j/QiP6CcgPKI4MoQ/
BrBTRgcPh8gZ0xNhI0bps6e86yqDlQb7aCAMMgL5TUztx3l3iAlQ7xIdGdpDlDZTB0kiP1Z0gTzb
z4v2nriIsExuE6ghePyM5Xo6Z/sR33m2CYDv0BwZ3reBjoJOVf/8Cm5CQS7FgPbPrTJj2xvSjRaU
3zNYxreRfgtP+5HeGWEC0js0x4b0OoWsslwX39cHUdjmiUnQkGd6PdNoCZuaGMpE9og3lE++jb1X
kN87zBT49xIe3xx4d1EF+t3190Bnh3C4GRRrEguD5f2q2WaBtodCkpFGH8pn38jaqzNg70DT5sBe
0iObBZcKqj0PsuCbAglIWz0L+M6WG3TCTAIlRni04E9maD/i2+QTcN4mODJ0B0GaBRvvENINyQ8M
tQaQABnntDjspqI2tn+W6480+lt42g/y7mNNAHqX6MjAvlQHqRqCoBnsevwVGx9Ks7ecb0hhwuYL
2CWLRqv4VH72Y7xFPQHere8fGbK3gGxyiMCKfWJSYcGWi+ek1k7o7FHILRNCKyMhnszRfnRHTzQB
3xHFkSF8E1fQIuef18NQzCuoxaHrzLMlPpZeCJ2BfQaKmo5q/qZztB/hEf0EhEcUR4YwrE/lpth0
B8DYOrG4xTlFr0kxPrGYBYnpcSOKt/C0H+WdESbgvENzZEhfber1QfqNgKK1CLcpeg6D76zW0IsC
vC0wqke7aqZztB/lEf0EjEcUR4bwdbGGJOYBJJlCQRH0GrGtV7ZeYGg5w2BDszUuJZrO0X6ER/QT
EB5RHBnCt+v7AtoGpQdpE2WfMA7dRiAs8hT82tHJ0CZKDH+gcnD4jMrG3sbbfrz3jDEB8z1UR4d7
+u5MrfPqUPX54DGbBIKjj589CzgRUAksxNMKvwP8m5h7DfndQSZBv0t2hNhLKIRdFw+H2f4MXWZg
YyTERZ53xY7hh9WdwOZ26Dc1crYgYvI2xl6Hfs84E9HfQ3lkE+AzrPfVgfIhxAbo0Wu77YYYioAq
YguNSs/ewNJ+zMcDTAB7THJkKA9xwAUYcPeBvlc/Be2faPDKYfccQhzKB5/U+p4cJyz8kAWle+T7
F0dTrMr9UG892K9hJgC+n/DIYP+m4kNEwW3wvaGgFHZLj8KisEsaLnAMjcV+TrKn7o9TGdkP8hb1
BGy3vn9kkMK8HfZGx4fJYUO5EZSKQgeL14rC8QmIOgZ3exQ5eyNb+3HeN8gEuPeRHRvqwaY4iJKG
/ZUWotAD8Mnr2ldHChehrMHeb51P5usVxLfpp4C9TXFsOD9Jd1H1v3TZU2nnP6GroaKUm9hEP9PT
4xwm1CNBSzlQ5+NQ2rOATeTqFaR3n2wK2rtUx4a4vz5IswuoEIe2rZCSpq/t3SInkK9GNlSrbOvq
28kcvYL0Nv0UlLcpjgzhuwq6EiUHaeALvQ9s8J4hePIUWxlXlEKiC9Z2jG0CbvfLGvG38LQf5Z0R
JuC8Q3NkSN+qeH2wcgQIkQ/prsfPDs6wcpsCVPROj/3JHO1HefREEzAeURwZwncVGN6HSIJAQwSK
4DiU576tuxsBhmDJYHqzHUmeytF+hEdPNAHhEcWxIbzx14coOwF9DDviLdis90p5MFhf0IAMTskY
ZgF8Rh703WS+XsF5m34KztsUR4bz7dBI7hC9mWHPPCUEzr95xnnHyobCBDgvBXT22O6azNF+hEdP
NAHhEcWxIVyu00DH6+oQJUYctlciaD5kvdbsE8oS0LDxlo+C23Bk1Bu4egXp3TGmoL1LdWSI30GH
MTi47J93nYdTFKBbDeQxnyu7d7LX0NsVwqGwtWO8bE9naT/W42eaAPSY5P8Ayr9nceuZh5PN/vrp
zewJi7z1iDrIP0JjTwt27Tyq3X2Wl4WhWBQ6oezbtgOHh/06We/VUM3T4X47Z9O9pN16xqdH/P1L
OcyZc6+fR/frnL/ZulzPH08IfHEk3e+vPk5tONtwRPrsku4B8VdPt9XDn++h0RBl0Jn1BbLDQFsO
7XP+7ue82CbbQIjlz/cG+MGw4W44HYHD/hto8glLc7N5vgSBUC5AgKGQDA64siBblcI5HT6cYWie
CLDMObjZwrSgEztIuFbV4yVo3Y3hZJXHMkT8eOnnk96ouPNU+uu1PP/8Lq2SGxWkpf7zPUTQs6dv
DdzCA0JJMrSphA2DsMdAgD8H1+/XH4cObPAO/l+LDK8uirS66rvIyYtKeprJwE7ki/ey5zYYwWI1
vhGDgO+wEQ0ROBJkYOTFjXBc1rkVmtkVqpj4FPm5YTkJj7v+FBwQVji0TCtzpbXb34Yk8iRke8wv
oc29b5kK7bPC68Q55kkmM16w9sbv6EfaqVrNrM7j+ryOQk3/rtvcsm8aN6/rRYiVOavNOpBWZMTX
TRhrPA+yTJG5auKqdmzDc0MZaDf9GkSdmDO7L9BMp/csNpsrbmbxtVmhLHZwFsXdQrktdeK6kkas
VSN50Ch6jWrMoos6Dq+LMmpkkqWt44sbSEBvmM4e0txbuBrd8To/TRu6ZIallgTBUxhZMBemuxDJ
nLXJyu26fEajJJjpAs/iLv/h2/7HPjOvMMl+VLS+jbGXzBuzCL/xSOmZ8KLq0uBZcZVrZp3FgbjM
RBLP+55omRoG/WGGOj01XR9dpWWezZPazWUQG2xOGvuSluJKp7qZ9cSuZ17Qk2WZ8k8dNr7GxM9n
KvRZIcvSI1xWlPgwLdxkDjH7YA5NQWCIkixwZBWfCrOk7cyyU/+j9mpjXnFczEWL2q9mHHTwFokq
pY6qYmYaRTcLWf8xt0r7zAfBufr9HCMgm+MpBhudoMvbcCINhWm9PcXyrsg9r7WLKz1P1k0h8W1/
y6Uhc6c8TU9dLP2ZN0+WfF7MU8nOzAWdk1PXif7LXGcg0S/4sKGaDM6vglwWNCRDyIQuoNt8sLZo
Kk/76sol3lkX+60Tebkrs8Yk0uaRmOe1SxcFsYpAuja69HjhnmHAyIryxOl4dyVc1Emb9H+XrRIL
TdxkASfALly7/5szl8nQNXzp9u2XPM64JEXeOVyHdNY2LpHYDxPJ/HbeUbFscOqEbu/kpu3KnonT
nmLZEbKELolY5mUBk0KYTp2kp2FrzhQ1C6lQNm8a74K4kS+jNMCzOgtkkoR6BkJ81bSCLnMvjKSm
3ievUaeYJpdVayNp2NkSRTDRuMjNRYXC299DvL2IwJuFih0Lzi0YCm8p7HAeLSKiJ43IEre4QnUS
LmEhiOHhUeoYgT9nKjClmXvr399yCFpuozm65whNo615UUeevso9+o25hdNWnpr1mp+aSXWpchdJ
zyoyyfPcYbEuJTPT7qIvKl/aBrtQgf0VBTqXtTZ+uJG5yPL8kijrA3L7e+blfydNkM/yNM/OHxl/
1pU3L5f6e5V1ReD5z2f2/vrx33cqgf8ez3v9zy+HI3//89Nyo4ZsuR5/abjPr2/958zYQQf+OkB2
pFmfzg3+qYzecvF1nfxStzLo2/kCvB11/NKyebKKHnXcI9UvbQylYUPfIgQHUjHowAwD/tTGBPZS
DwXf4GPZYJkNJ9w8a2MTIp142JgF0iwEnHUFEv9TG5MT6KQBZ+ZAuhKyHoOi/vkCtiACO+T555fa
GA9L1LY6hkgMnNZgQdCVQvniaIKXPVVZXlXtFWgLMa8b18+koiGPnIg39QfLYN1Z2NZpNEcoKr+V
yqw/RaZuc6lFmn958fb2cbMtboNxAO9CQM9U6MYGx28ObsZLnQ3zOIuEX9VXJE/xlRf1qSsrrizf
aetSCVk3ZvWN15kRyCKxy9zJwwJUtwvCYTqwjy19EGWJrmEMv5qROMafembYeNlZzN3gzsDt4vcc
71EBsPsCegMKIhiHU+bQiOOA+4BtV17RlnnezGr7+FMNxhddlLxTTNZdi8NZwF1b9tzqAtlFiC6T
uujwrKhV+eC3WmMnMDI203Bgdi3LxEe1hKUm8uYeqMWbqBJniRa+nkEOTHzWfn4exQ1r54E2rMug
8Otk+fun2oUBzr1E0AATTlGD/Z6PD/3CdOKd4TVGFmtQ5K74rDwbE2lGBKZGllbtTdMW4jZzcfz1
97cdm4bQvAvMVU7hCApoc03owNaL2zLUemamvfQqtXt8hSO/ukp14QS263/+/Z22FSZDw50EHNfL
oXMUNP+zR/MsS82uzwtQmHaGzHXeqCJeuqXdERll/hzlVdw7FHW2ckLKmuS/TZphUrwUOnhKMvSr
M+FwaDiccHx7sCUC30uT4IrnEVsnYcXWUTzwwPpEz61CKdkhgH7ZxHlDZB4pviljoVeN6MyL1qIF
cmgTqsgJeZp8okVG6My3u26TGXU2Q0afcIcJZRanjFp99V/sjaFn/Jh/Piwb0OIBzsCFGqltoJBV
sZQx17jElZusg6LUYD4bUZmaknZd6p01fhB992yRXbR97i8sZbaBQ3DNf5S875XT+R53TBXWm6Cg
/KFmmc/Pfg+xObKKAGRqUphEQywDziZifNCzL6aTVdgBKvySXoZmnrnCnpXC75dt2VKxKOuqcoo2
Rx/qpGOV9H2fOwVOl5oU2TI2M+JEcZ58zGKWtJLHjfelCRO16nRZyozl2SdLR/bMzVPXqVQYBjIo
adhIF2zgqyYz9HVu9HTueViE0ujdNHFI7SenzCrjjyT0brwupa2MK55flW5+V5LEoDOrJvAig47A
2mBWfS9RY4cXsc/sby6qzDPfsvFF77W1cBrkmwkcktIFK8MuukQ2nd3PcMOMWR+295nOy9sKGdyX
TVJy8AnyamW6hNzlPm6ipcsNHMjej9zvUCZV1DJIc+PvKuHJLMs0WUUqzVY4F/FDUGcWyD1NottA
uC2XdW56Z4VbVE4H72EJnqO4zpuknZtNkS8wbnE9j+HwCc+pG8/OnZr47jzRtJhVmbj2XcNDM4xV
eQqqhjROikJL2iWPv7YJ8s9JIbJbRku2rERokIW2kn5tW6qYa9SG/aKObG9htC1aEx03P7SXZczp
SYkqmXqk9hZtGSoQjqaZd15d2YtCuf4sLmlymsJXJSigAly4Oqm5DHUYGg53Gy65Ym0vzTJ2wS80
0mRZWNHcM6sOfWgoNmeBLlAsQ5hJ5YKWjdDLlvL2wor6PnY/VE1eJonsgrhLiwff9Qnpv+nGaHni
S1HAUq7uSZeEJS3g4JOqytBVGZVJ1J6JIO+XtahKd5UUQZDJkMTqFnGDrsKO0sqpAANXdjkSLcCV
2PYsdV3Qh2UcNTnY742HnCIusXvt58ji6jTqeOPPujYW5YWlSwozqnEV1o1TgS5cWIYfutc1iI7l
Obmd2TDhaKSTRRoHhZBxDsrLnbd1YDmGC9EkJjsXpSacZeImCXiaVeMumpjHyVy7YBUsWOolvWP3
DFbMlERm5SR+YcRgfHaevtGBkSRz5QX2D6OqeYBmSJFyGZh2ZV8xw/Xcs5TykrPQSVud992phjZC
hT/PPJ8nc1fXfb4QhU6DRRdbSXeKtE4yh5EuDhzesi5eFkEeGA7ASr4YWdLjGbQhi5IZ/EXGdRwi
Q8MrT9MvYZKIZEULUcbzyC+tj31VUroIDUXwud/4mqeS+8Qvl25RZ+ktKGN6Fno9iRZVBhzMVRl7
/dzGbS8cO+yy5jKxO5jaBohKMXMxrs4Kylg881zqVTOe1gBnwDXYJ2kf0n4TR7Bhe2YDA8mMdomf
rzAKzFMv4JHlkCjK6SxQgTvrKzdi0miKTNyEbhOaDg3ysAdfP+yNc+TG5gJnrseAXcGzOe78Xq38
ADfePBKm38jhexKLQKQwfTyaO20TGL0s28D4u4AGrZ0hA5AjcoX7NOgDademQe+6uCHVlZWJTs1S
kZeXrEpBJXmaR0AgEgpvyw18nH7rcZz6Z3mXxO1CN6wPznHplXdmSNiatW7iShvD5F1UacvpXFt9
AMxXOExmMc0j7diNOw9wkH+LmwYsi9AL61uIKTTfs8KnpzVvPHduRwwRmdoujMNiFbaLtKjxVd9m
1PygS4bvcGnANxrL0LZT4o6385okYXBatIQ0q5R7mlwHBhefU5QPkzMMc73ksfb1TduZpe2gvAFs
/CYFxpSGRfccNJj4TG0EszuBVbKYQefgVq1KLVxyExZVFH0kdirMVWuGTXVZtuVgfPpde8Miw2oh
zJPArZXq+1q2JCl78E358PAD6w2sT8BXluArk6XwFFXO4FX5kYp6R0Q1iE4We1HwIS04iHxRgVXg
wTVYU0mZ+tc5NrsilTTzEcDdFG11mRh+pmWAqrxdtLCFmM67OifDogHC5MATwQLSCjzYyWWafHYJ
FWd2HQS2tH0WwbzoPGvdpBTYaIuw+0jLFulzD8zc8FxlaRTe2qAtljpF+CoXXv7NRMTKpW/6ATlT
tieqc9dXXj3rCp43YOB2dJkReK0O4nl3H8URu2krjdRpjro6+tJYiadPE9dIfnS9GNaQII/9GfgB
Np0HpPP1IrMS8cVAEH9ImswDv96EZa4rGv9joEp9LpIoZDNGCuLBsgdhGVn7RHwuQqP25jFJQUx6
w6ViZaYK55sEFuTuDM7XANlohhV7HjID3mhb9/UclEyTn+OiIpbjCggXgqalNQLTOw//LkQt7owO
zPSzXpQFfih12mmZQMS1XgUNgaHaBPu9Yzae5a0ygKVxjEhYi17VdXnZdjy+DWtww22uwXFva3ba
NxaAEyGs+2UWR0pdplZrXhglMtXcz9OkPve6JvMdm+nEvwNLRD8gkcIyAkunrmXk60ZL0dR2Dlqg
y29jL8fBV6x6ateyBwus+5SV1BAwmHaLuc+NyDsz3Kz57nvIqJ2YaytaBRAI/tBqw+2XRZXrYB70
FUzSgJQhvWmjuGdXiZXFscyzGlmXJvbN1unAutHzxs8AtcZOA08WPU9g7dA6nuOWtsWsjoldLHs7
h9kfma3HZ53bIe24mbbyLw3r8F3oFzDXQNOJzzDXE32TihTDAksyES7sxLca2VbfiF01NpZRVPNP
jKR5M2uYV5qXphvb9cfc1aIA5Q4zep4FFNAEx6FrLwJaRuqCF5lPb0iLYmvlQiwLnqttDe8yKoys
mSXahTUDrLGqvIxjF/gvROQttG9H/qxpEVp1uQly31kWDyTEMvnlo1X6T8dILoP7Qmn1oxwHSV7G
SP79/3kkZU92Y0g7/fEzXLETTnk6RfllAOYpJzJQ/QynDP1g4UQVwmwTWtPAOZMvwimQjCZQDDp0
nqSYgNPyM7dhn0AHGwSVR0Pq8ikj8jOaAi1wMOzbBE8Q6oGhqx1/SzSFPrr7Lz076KYDGTZwYyGR
BgduDYVqL30OlbE+Yp2rr1FM7yBsfks0O09M/SFqs1A2temfeQhMcmyehl0XzpIochdubTVO2Vau
RHkGS17XVDNQ0h+R2feOn3EsG7O0pO7xhxLl4IoLGCvlyp/HYYZXwiuIzPz4tuBpKPtU2RKr9tLI
kZJJGmZO09eGY7TMnYGpFc7jmhiyKJv8CqXJHbSfYJe87tOLkJBSKovk0nO1NycxX5paeGAeqMax
fN+TfZHe+alNZ7EBGQVU6FWeMQgSl95cR6DJuZlswN/7DLayIWPCThU1bo0+wtLN9WU/qMWeed8h
FhbKnFWdU6hmnharEF9gjz7U/rqgTim8U6Vcb9bUFfi+fRXCG4niWRq30Yz0OptnXbhuepXJtiwe
qrI5w2XWSIHggYraXenCvukgUyG7dG70F1WJz1rT/puF1kqh0JSiY2gmOLsovOImSNpWmrUNUa8W
X0OCIZYequbYRgAJ5VqWnqdXvDCRBAv4I/Ea84Mw/PuWpB90aoMCjGnsBNjHC5IrIjWv8YJaRTXP
XFXO46gIZ27UYFkg+4IE/qqrIGrMCn8W2unHNtKhRH2F5zkFl93WXSctAb4UxKTzuZeX9a1XIuq4
WHzxDBVKFWTLHIVnOuJ3pujX2PDSZdJFskTlPKx9MVPEj8BdK3yZmdlpg2riWGV+Bke6asAvXwqa
hE7k4hTdZGaZ3tpuDjcutMwidd2bxX2gGrUitXEDE3wtVKBkEXrpmR/hr0VeXxbgA8wM24SgVkM3
bVNtat51C122mcy17Z6CWf49ARGVClhxosCKFkFT3TLi6fPERmd1GH7LenHe57h3mPKXqjEu8q7L
pEY2WpQe5E1U5Day0PqqDHsQn/rO99zvuc/t05SCIxQaya3bUx+MrOpLTvkqykvv1GbqDHqgxlJ1
VrKwdbqyPPap8JF/VpepJaOwv4Uxm4u8ZjXYRUrNSwikO482cF2AM4PFAF5LOwdZrjXDrvlFq7Bw
6r6qpNZpeqZJ1Tqtwbn0uyCXsY5Lp2+1+uoh1ztNfb+4CS0mZEPzWZt2eGFXyWfIq4TSK30wO0Is
NVEBAJSlczcOKzCBogCkvSQrHShfqtDyZwWpVqi30Sq3/RXHbry0gBeZW7STsCyW0gbVqcOylyqH
lFuZn4aGNQtVX4KLWoZgRxoYJM0sHTCRW9mZPof8HSRTTAxODvzDMNlN6AmpdP0Jt+E5K6ozRSEN
ZBa3NYeUY6+TpW+4kUwTt5dphK/qtvoUKJbKuPNvErP6EHnNZztqL3XSf9UuWGIRhGhlosLPEMY4
M1t02ml9V9oWknmVIomUolLE7UWk8zlHhVokna0hndJeugX9EKVdPG8bPOckOyNVlcpOVz9M5v4d
ePgaYkVXENq6yUOeO3atv7sua2UV9V9jX1PIwtj2HOz4v3XCQb93ri9Lkt0p3zxvjUzN6xhmDcQy
u+gzrUJ2GphWSpdQakzmvgIvnAVqdhBF/39PhQ+Vua+r8J+177tK/LGid/2rDAELKDeBQoOhEGDY
jvUrJwId/eEgQyg2IKYFh0xD5PY/WhwKzcD7wsQS8JVBwf/U4lCnBr8YUqDDrh+oSXyLFoes6VZ8
c9gDBvvEIN8H3UtNkz7WQrzU4rhmRWKoJLnumQ8rJwYFAaH8NkpnfRqqRQ0dmSAjGl9Cxh4iINQ8
RRVeBll57VfGKo3DmWjIhxQbTkXxWaOzdVSZ31wdO1EKnkGPLzxhnva+VcjIUJ3jQ82B7uIPtetG
cytJ1gJZlmP6XS7duMqcHjfxedLFRMbgAoDwl+kXRf3zqlL2BXhvN7YfxVIogcAFMxwwab9D3mZB
XXzjt+o6K1gowcD+2uDakiq1rm2WQ3qkikBmcRNcV5Z6sBRoF9b6sJz53HIgPoBXrLMvypKvqJvc
0a7ddGZ/qU3xPXb1XdNBJUQYe0tlVecW66lUtXXNFD+LIU4ihc8+UQNikar8u/Gtha4hxlhgI5eN
sG9MUZzHiboOm+gqbMJFZmAIo7ImgHg2WA64ML6IBDKcqodgNgsv/KKH6FfWnVMRlauUxblMoh4v
fNCVCyMUf0Og7YbV1YVZ2eoqyz8gRRdJFMw7jq+hz+Wiou3HDoNTPkRqaYHXFPsO1CZ8rU33C6Sk
FlYFK7yoG3ZK4+R70FWfMgPRWdJXkYQF8qqr4dXlUfUBtW4705GVfM7NldVpu5Sl7SlJc15fgee8
cBs3kwlEM5yuqm/9LpzDv4NFYOl4Vubp5wrYcHMw7KLAAMujUUsWQL6nsLGjUHee14ADhCUhOons
GBQDJLk7KD0JbHXeNO4DhLKhhMSy7kxlfTQIp45RWhciUZAoY9wHczGPJeSEPhrMXbGwNC+YKkFR
5uGd7ab3UE8BrmPyIfGjhzAtPnsCAqdQyNs4HjzUKSR1GkcYkKxyVes5nJAFNcsWwliuE6sgWmRB
NesFxLH7aInM+jQiNJ5DTqibE11tbMay2f+yd2bNkePKkv5FOMYFBMHHyyVX7SqVpHqhSVUSCO4L
SCy//npWTff0Mueatdm8jM3ppzappU5lkoEI98+DlE0b5v/xZRi6IvHH9qqK8G5P7SIzMTid9sZf
0nCZDdx79LbO2CGFSzNeOzs/Ta55KMeVZ9SrAQZIHGTSQPXs1n5N23k4e4Npr/wOQyNfXiSLrxDi
fei3AXqgTLqM+M7t0fVCDi5nvUsgs8PPDL6N/fTIN3zwkRa5jRyooPJHuRHohVv0kIz8AcrmQYc9
KI6yPMYN4WmEiz6FSbszjrcXd4CmgWjQKelZp/U0bxlx9k2EbsmihYisxTuaKjKf1EZyr2GQ5tCF
+m0nbwEZ7MG8dIVtHkgNYgLH+SbcG0b2N7WxL9D0vzStnwNquGuCoMm0cDTTQVinoSRfLSd9qtq4
qJzaVXZjJykhuIy+ivCxb1AYiX3D52pPdImKYRxpCn0vzANCPwKzXLceuTae6gvJ0RR71r0NTh7s
qKJsgKyKjwsig9Voa+w8rCkknMcu1kM2LcrfAypJMjw1Hq9na/tcr7gC8fXPoDU2tRG0qobKOOUt
eZhW72PpcElQ1snTEMdP4zzdLG21pUDMPsbRu42J3i21YSkJWlr0Og52zK93lefmq9L39qan+LTx
jp+nHn900+NqgoD7Srt22A0ENRhqcpJt20zRiohDSZk5DL59m5gc9glKI23kbgpXklUVvXaqul3a
EHwK3NvcyvARPo5OBR3upsXb1zP9MjrUysF/9MUUZIPjM1qV+E2I8TSy6gRNW+ZaeiyNvPWJMOdn
ZS0njF5bnc4RLupmKV835l5nNT1UCxUH0ZLDWPtr0aHAwVRYH0fud/nc4PMNyZDzcNaZjss+Fd38
Xs8tSsWYDRXckdntxVR1aUCXL7bUX5tAPc/TZeJq1mc0/N7BD7SfA8quzm6pt1xCyYOd1nbpICab
tn54nJf6sWfh3o3rgNnDf9WN8dB51RBSkxo2eRNARWQwJoKvG7vXy8mVL1qeaRXe9zUEq4h9RYf9
JMMOH02v9qwfbgI8TQJ9pb8c4Nd8+Cj0UH2SO/gEuLUpKQ8ABdo0htZbtLFcU0nB9iT6ahnbhy0J
MBW0KL/SFs76j33EztVgoc2I9TlWFjPQpE6TutmYTVW0ylTE4o7aUObtkMh9MM11Fs3y2bdu37Zz
fdUTlH9H5uvExmS32bWBLWMw/fphmC4jx6cFfAwK4ilKOMkWxiuHqVgkU2qBlx2oGT647Kpr3auU
jgIVO36uh07vZyUh/Sh4ETd+5cmsWvA5x9axg+CqkLLMMCgup1K55NYP5+HWc8QdykXR4xZXN+1c
cf62Umv3zpgA9ZhPBQ6PepcAzesi/zoYoyOq0YmVuHSgcmAUJy4nMw2/ynhEhdgmkdKFHKqJ3lC6
XMYK7yO03kdpMTtbTIy2MgfrkbzjcR40Hv50vMYl9Ie8Me13IxvQZqIC91cH6HpDlAfBXirTbXvr
q7rQU1VM/jKksKl2bCMyw9MPzwJv9viuvJNPy4emjA+E6OBGzvFtOJoyk2vnwxP1nvD24xT324/R
1CcYljEAI3M/L2xfQwzMozDud73xmszO3pjLFiSXP+mXXhmQTO1jRG3O2uipS6Y7O9UqZa45asp2
s2zvNtwn6TKYHSb6L/FAv6O43qlE91lb4RKQbHrwybxDgfP3QBNxZPuAFKpAprHzDz1TQZrU3W2c
zDZtymotZNLYYjZQT1D327xirkpnBlzPtBiQGYV6PgRvbgkw12i9j2WN4szZDaKuL/MM+zpu42zo
SOFLk0Wav+Jo2W06eMAofMade4iDy3yjq6cRykRWy/Za+zhqG/9KlgriwPAcjf6LLmF7RH38vATm
ejDxlmmZEMyx/pgmkfjaWTBlPmmPTp5mOl8bIXajDpp8lfy+ikac0YQ9reN27UyVer18b2l0mhq/
xcdurzbD1wO0alX0hl13Pu8z1qEQkmrvRZLlU0QPzRBcac+d1zkMMxG5OWOOPde66+7C0nO5UJxc
TKcg3yrq0m1NIBzRIEyjrrfZCMCmAK56WMBX5rNXv8caPQw36108LhilwLLsRbIsV90022wK9bmt
Y46iVO6btiT7pNM1es5S4eaKWu7oF6bIicm427NqOCbotsa0HUOYwW5LmPyFLPzf1l3/3xvHLgLo
vx/Hfj0G7e/D2OWnflNUsaAK5CjGnQCgzy/U7PdhzEdeE1/mgCBDIGJQdH8D1Px/+RweMfA1PKEN
tA4k2t+GsQRq6yUDCOEQEBf2avyTYcyPLpLpnyRViLbg0iIEBgGFAZ36s6SKC/EywjN9a3W4oAPa
Styja5zYXFhQmG1QnpVrBLyvetuar/7qEwAGHpfqODrppQZnc3O12ES7ojaBckWjx35ADetDFn03
TMcdrry5dJCDZmlTYeaDYb5IPhOv89UjZIxl3uFYoGVeWucS1MlBY3iDQEJcMTERuDGdGw0qzQ0+
BS+yCuMXXSBmV2CPUAf9k4djrtbG369ew/l+3gSNnlqfYDaKw/koA3+E3cmoOgDhsQdoUGv9qUNu
dqLmzgNJUneqCJPEO1SNubg6vH2XZc8g7GifpHa0W0HamaVbh2YsqUDSeh1aTcyy0fsWLVXqXBfu
lWdB8kaToPvIVp9MEwqRmH/WfUuBngH5jkd8byQYlMi2znsTD/pciXE5c38Dli07jKEKR1Q7k/4d
UniD1k7BM+mCrYHKSTx0pD6oAiu9A59plcpS928+bx1K/SBOI/AAnO2ov63xkz0f+48mdtE+bENR
jNVG98ugZOEtF8lOQK+m0dreNd66ZBOs127cgrSbJl1wgqFc8PCjWshwiOYGl8XWhmkn6FTMg4hT
j5H3sYEwx1y7Zn4y8H01z5+xLkv4lLJK4w4WXa7B+uNvCuI9RpYFapBXo3Ou6mu85i4VAxtOjd5w
AtZejvgU5NtY2/skKaO9TjDkLGsVpfB+myKcKU/1Wm5F7yDKdzx8aXu0W2KqYZhdRGTAJiIdEENI
1bhN6QrWcu+3bLoXdvJTI7S6jyVmZbRJk585a5vjMgTtzgEAKRYo8elCzVgYP4Yi2UFJK03fHHy0
HdlU1t3hPyqWd4nZeJB8/n3ZzLDQ++ceIuws+XvxvPzsb8UTq8Cg76CpTHwfZepC8v1ePIN/IXyC
7SS/jKU/Zm3wNFrvktDBI01jVNBLePK34olNc4gT4NEb7JdX9Y+ULECFfy2ecLTgSOF34iHIgGDw
+v6oZCVd7JIecvdtu0lwWNk8Dd4J9x099Q7YWlaz7snWAtaNIVe8x8hYR92W6prlVY9bGe3iFyPU
ueHmcfPMlS1h3YzQXVJYtPDapQPCpL7qDsmLLjyi2UjDthzSiS+3ozEnNq4sM910lK5FWmVZACNB
dy7jxOzRiHyGXKhML1OfeojEZPBzg2JuIBM5Dpy/rqEDtFAokqV6tQyq7tJSWyTKdrk3j18oZJuU
riTIAMtm4ei8zGr08wIz49yXz23i5ypg8JkujanU7wxyTl1OXY7nun+HliyzjckXBlwiBeR7DA0H
O4HyCSjohaEM8nh0WanDXcVnAs2iOwRsi/Jt4IfFdF1u6TaDpTHvdijfO2VuvaGa0gigtPQSmXW0
2TeNOXLQnjvf6BnILxlSLsYfAoGl3Pj9yzhAnQurLczLVX2wMnA3C0QBOUbleY0kqMQo6NJKsIL0
3H8IlhjJFjBtmYyguQ+LQeRCN2c/mrZXnmxziJoyqx3YyszRWBa0jIdda0Mva4G4FbyqEB9I3JCu
Qb9cW4+bvAGOvOOwlvKyJTZTsElhvjRVQSS4O+vJsui9RZ6lN7R7nmj1GESb+wpbscoH7zL/L613
DdMl3jndNK/DDANAxjF72Zaue1hmf7qrWCCP3J/N1ZSUYb7ZdjiBJUELTyitr3BEjBeUylyts4PQ
6TqvfDdcEg7vn0zHPvDumyHxi6rS45Nn8cbvSwDk36D+iU/KWwzbSQAcSNm1wAGb2Q4+5lKjc94g
AaTLDEhpCa6VdXjXdTEhbbL00yt4siQj03ozV70+lKUyu9jb4CyEiMHEEXQLVNsbqgK1mzoP8uSs
MDolZzB4Im1aiTM7dBdwM4E2TDHgDz6XeYx+fjesYTUWgXyMwx6YJHyw6wG7L87NKravCUi+I8NG
HTQRXrknvHfZQuZPE5TkANArN9zKX0Tsf3rgS+7q3xfz/5UT/nsdv/zY73X8UqyZh30FHnhVPCf8
D3U8xCaDMAojtKZ/gArw3EOwBAmsfgxBqP+Xx6j8VsTRUeNxpshngI/8uTf0n3TASG3+tYgjGZVw
8OrgLaHaXSKifyziwFENm6alu+v9kdJreJAlcgSr9LoIvLUOktSYbeNpG4/fp6375gZX7Q3pH6HL
VGkYv9tNA6lcxWEGVzWNEloiB6i40vjGU/6UkXqFazoaCtk32fJI2GoXjAwX5yhuCGxAyG1wBupy
uF2s+kFYM6ZRon/QkQBcgjC0JtBGBy7Phro2DZP6mozT3ewNUT5UobsBb7nlqsT3Yjv/IAOMwnmd
3zepdq5r7N4L+DsxEPS18nEUiUMcq5veNRMgoKpEu6pfNSdPrbJtVjf+YxipFwH3DhYe4Xscz+xW
wPotkKZRaD+bGdKreItjN+yXaNtSnsz3Uga3A4U6XrngEekbcGyrvDeBd+q86IOqbg9Z7m2hEMIC
RFNnQjLDgzOAUfzXyaHz5pc1lMfBrCzvG/EyLOwlqd9DPeQeDb8vSfJ9Dpbb2cnnaDDfG8q7HEEH
l0NPuyN4sVAL9aGrJOZ+IMbg1Faxs418XGR4s47kxoVTmdUeaooN0MZGE+9ARoAgi3xUMO3ROxLB
CALaJdKIgFfHkHGuKyb2NVnZbhLtdQUBtuCLAZ1OToGe5jSJ1YkPkIe8pLsdLU0y20z8OI99sLdK
7/lWY56Xa5WNtuX7Jq7mvPa6rWBbaYpohY/vt/hubIPDDMe35PGulesd81Ycdj2YN5JM+5n2mQGv
k4qmOQaRaIBmaKhY2oFn8OZjRxC4nQNS7nGjlZketjNwxZsKH8UF4nivyfyAg/UONPNR1LHJWFDv
aT08dYoeEt9AB3bsSUF48jrxFfPBBzK/JGtcMKTRCjdum5IKXrt7gYA55gIWchmPz2Rdl7xd9BNJ
1JjhRxFXbclUhFvzaElgizAA2w4Y/bNbSJfJYbymNrltqBWpsgbhyUFfrWbTheEw0mLdCdwrM4fV
LoOsbJKDVuhAmnA2b6pE1faWsczDeUGv0NTPa5PHrXwKFWQansi4wL2WU7qtGXh3te8XBZ1Oz+PB
+AG488E7X6hiCm0zB8ga5o6Qe7vVVWH7yeVx0N3IHkKVJQYGXRhCThPuArm9NQgyXK61RxqeiP1s
vKlLiZgfhngp4GHUOdINiNEOXzGzf3q+hxYupp+z816TJbnydHszWvsIDDNOYWRUBYPAmNoOcva6
vLUUQ5C0Rz64E12TixECORnXXg34j2Yzt5/BMn8TZD3rQd23I7mGHAnoo1e5Ax8QJpvJfA/DYdQj
zFKvDSbEpEKHptTnCD4cc6AO8tbEb3Kav8Uo0ZAACcbKASkzozk7qRUS8YIkFywW+oKqO6XMAlnZ
WvZdQadAdjuQEMX5GWeo2YtlXXeV207QPrcsmMUDq8xbLSMBJgaBSDWBWRyF8rOFTgfWQSCrpMtU
ZR4VnNHM1H3RmkrnUyODou+jGTfdgFuCs+t2lnUxmPJmaMM+o2tpspiIx7Kkt8OYPCYlPYTG8oz1
IA5W28LMGm8QA5l2ENjal1nDMCj1dkVAuWVre7mxo/o5ZiGE0E3DTU40zURQvZt+YOlKJdTG/oSC
/mDpsIGj7WA/Buv9SDEGywi9aAQ5AUI14hZLiNGUDV9KDlynhF/TTO3VUm33aBX7NEBIt5ThgqzD
7Be9aPGz2/YYsZofXL++g3RBow0dJA16gDusnkgmHPlMLtCIqmaJ1o/cAx9/ZyHu7amN0Zx3ENdb
qJVw21x/42FAT+dhevF5V2bIU7VpZ2H1hIEe0grOfj6gZkdj7+1q6aldq4b3NZHPw4gLSZf9zkKB
SX185ECJujnTYQiyyXhiB9Mf7ynchmMY6kMiKNIWFW1w0yCRuyKTWNnmXuNMzFTNB7wxUMmx5wSe
HLG43BCCzlfEPWBSbfJqJE7nDa2vLQmHy0QO99PTOiUNe4qU3YOR/xENF0Jm/DA+ft1C6xfGlEz1
jNGErf0VOMPpJo7cNc5/6D1xf8AuhqOCjJRRG1xaUG94mdq6PS5uegoD3PhtHz4TS2+VVD/01O6S
sn7CYe+dYQ33Kc5/AEDiNpbTl8Q1h5AsiPxXaEXbFY6cpehOozCNLxDysFGNlxJtUCPi79IMcAKg
d2TTMLqdHfiDX3ZTEUUVRfLA9MU4AnTd2rU8erN9YwQXg6q2YNc0/IvpIeDwkpykEG9zHeeigT5k
6nE/TAN+Ph7vhmbz0yHxREH86PuI1PZuVRIsOAalemJ33sq+DpTty7E1ByfCz9rTMWqsDyMxQJaD
mx4RsBi9rkJoCuaaxeVX++qSdEoA+PmvbNmAHsGvx/6BLp0JqjbWLYi8BgqZMVK/eX1w3UiN2Iss
62zaxrPcWrzVat5bB3B+DZEggbJ2qIUyCAzCNvVU0KRTUPYZCK62wDOLf1QCjvvExbzbfMxDQ7dt
mF9sBsj+UlXZc8eFnwpRRlk3kS/VrJ/mJBnSXiYZNjhcrYsPwWnlCmb5MOUBrR4xK0GCadVxFdCn
Oi95ov16J1qdZOGidNGNZM0mhvsp3NTOCNLCsOmPBJ0Tbsjag8W7vI+iuzMBznO8WzhC6sPEQB+6
SX7oER7zyD6ZR76QEAGvuIN30CTNZwxCHAnX4Ptm5zPypzq1cfR92eL9xLH7oBf+qezDPk/cRjPD
mmfRdRDQzBxkHCM5/L0dkDqPiys0BjTlFHOpv9anMZr9bMTkfRPI4VhOcFk5b14FiUA16PqLP/M+
HVfyEHcJSwNE4miinw16rpRVkEHVOPTFpEKBdNgKW62Z8OfQCaC4nmkxDPTMp+GOc3j+TTy1Ge67
TzwZq0PUDUi9aMKdt60v44Zbt5r9+1b0c4Zr4TpkEu5GBCZgbcZHJvEZIWMWor00qNNzf23o3O9m
Rk8+V9/rzi6ZL9XzZCrUoNV7cq08Gdt+CSjpcr2gpMbe+7Y5XPzQgdNExTrHOHY1QurtPcNTD1E/
lEMwtIrVHwl642pj8IxM/+G6+QRZBUzf7I5BgG0edZ2DrH0at7HJFnR5iMygz5xwZVaJhqzYSrzI
Nd57Zv5kFVq6eDCvYYeeD0QgQJT6ZY37Y1mWedX0byVv3mu13lI6nTqp/Fx0BpBwj5MynA52ih9M
5Rcm6hA+mYZHsySHkSbHBNk/sKF3yHRnVvrw5sOqqMq2gJ54NSPHssoRIgCI0NNS+zBpRBw0923v
2IsdJOM3E4k2fCGCMplbzkDkjOQ/M+gvRp1iKPv3M+jjz3Xefx9BLz/1+wgKst3z8TBHbJ8Jop+O
yu9SIsj2y8KcMPTxiCEIeb/7MHgIJHQUjifHRXjsVBglf5pC8Uuw6RoLvX46O/9MSry8tD/7MBTr
oSh+F2j5y3ahvyTdgdt2FdBV7xaIHtaIdK4umP9tEIiogDXFRDqz/kpywKNSJ/AaR3x9DuJbIAS3
6zTuGBcP7bp+WxaXwYQweyhML/0c7acxfgh7jnUyEza3xK8+o7ACjSpc3JxVBG5ZYIgDegMoy/Rf
aq+Hbp54bTZNvso9Ob4CyMhZFJwj0FadP725i9lfuxfc7FPWGXWqoh47YuoYE4M8LCva47p3L76I
D7pqZEYbdWfi6rXu+ifHh6uknl7ALnZpEwWfRPfP0Km+Nj6cD7pGuzkhOxe7O3jL2FWDCCzYujXT
UIDgOaHZwe2bIlR6RJoffJ/FUNTTfTyR3bxgSLcd/4pQt0lHZeMj+DLQ/SU9116LsLkmB8Bi6Gfl
XB5WYvcITh+Rm071yB70uD5Y1c1PbWTf2hGlhk38JCrvGULAGQ1Hl42euRYNYq5axKSI6v4AFKnG
ApH1DJLgyMA8p1MZnaz/AzTzN1GuT5ZHODso7CLH9bfGWy4h0PC6jelHGOP4wTapJ+ZK2GXgvTKC
DUJIewvAQhsrkLs51Ivdc66LEY3VuuA9E6KlubaihkPW1Gqbb5CT86uijOthryIZmbMaYLM5Onrq
OHAuCnVx85Byg7EHfXqOoZpReCjLgq1Bb+026WOtokAh1OmZLjWhtjTrggE5nZZixU6FRSgogNfd
Ok0F0L/vfYUtM6SkQR7CA0cXMuDftJdrt3xn5UoRt5s+MZYzhFvr3PadS2PfbqmImof4whnGYXxD
KrScoIjxOzxgk6R6aQ197bnR2Wa2x3FtKqByo8zpFP2ox+UzACLpFMiDLW6/CkZxKYThNdREsAgL
hISeyKLWKoShteG8R38DnPFAq/kVYUfEiglti6jkr2DBQfBTVkOT1j8WHgCZa/VlIFNJjq2LSC5C
9LxuBbkRr+2Gs16celP/oAYid4frpRfQw92Z9f2+Hsb7LcQICdPwaaSgvNgg9i00FaT6Z0Qd2HM5
dlg8gK9wXz8LN93LEkASJcuVXl4R81/AU5PhDObdyRy/yqQeumnCKpIy1qaEVEvWzmaDI4BPvK6m
h9UO4thUIJRYf+Pm8WT68ZOBLc9a6OXebrLN/P1nOf3/Xdu8PCvyfzpX/qvFJp0fb389WH792O8H
C545iNEUzy5ieNhzGMO++v1gwXb8GMtkPNj8f8lMYem693OxFEwsXOB/pq3xZJQQTBDDQ1QoZPV/
Im8iIPnXgyXG9IaVc1gcjIco4VlZf5Y3uRFTsvJqva2lGk+8Tej13Jsz71vsN1rnryCic4BCzaGH
b+o+oDdO5H5FUsZODuiSb9r7pBox0zT2Xgl6GpZu2F1w09R3uKnjxid72W7Y1TRWO9Fs1VFPysvE
CAZz0YvAbbxN/a6Lx3Z9tGJ8TSp0pwR4QxojM404RbDQ02aIO2F0NXDR7EWcX9smtxe5HsTnp0gg
4MuLlG99jGuV3yTH9iL0jxfJP7iI//yXDYDCcfEF+MUiGC9mwTaDV4gvBsJwsRLai6kAAh5+MXyG
5qfhIPwsulgQEbwIfjEltos9sbWgosnFslgu5gWkhRv/Ymco+Boz/A0Ln6PybB7A9/CoOOuLEaIu
lohEeDSt4ZLodVmL/mKciJKoAv8z8VnqgX2zrt7K3RRNVYotEgB9qsU/JPP6UDXhI8cRvB4BRxJ1
L/1+OkTTmPVTxQ5TZJf+kSkPtaVay3iD+lzSfehrKJDYI/bZlKs+Qqld92vfNLnr+jtbLzc48U99
W91MXnDmiuyGRZ8IdJnBIZx5MQdrRIXk+EP3wYNUyet/iscvl/t/bEqxHQTy3V9rB7zxPzaleNQV
eAcfq6GwlQY3/Z9qBxKOHtpL5Bx/VoHf4CA0pagZ+Nb/9j9+t0b4v7DYh6HoIGR8yWL+s6b0QiD9
uSmFzwKBz/+5t5KjR/5z7cD6OegVDOJb48bYHh0buvB9q0JV3iLVHXbdNcEWkQMv4zYja/VoqQAa
jcst74MV0nYJ0gxLdppiTRTNl6jzDp5u6pwbyKvrNryBOBUYhOSbmxaTdyG2MAF1RHpBIFRf1nf1
hCizKFUxdgtkaI44NbfAdGXClrxZ/RIbRxr0bwSSejWrC4Kozms/Jqkfy+fNZ/cy7Peshdo1mLzf
3F5OGOY3r/PQPQ33Dpo7AJTjQi9rMtsBmyIUUPMELgAwf/eW1PM9Y5N3WLsASG8b3AWeaq9X6oYd
2ooeyF07YH3J9BmW4m2tV5V1BEq0/dAmiEDCg04laEXaDiN0QJ/HXiCIx/V4oAuW1syhHrNm9GEj
DSDiHYyUzN/MOXSQQYPZfay83K2Q8/1E7/0YpWiE5RIuxYwtK0Htb1hUgkZ13sIPlWCnjkaaDDGV
wIVXPTZxukijhRYlqkWssBNQfuErEPO2HQ8d1l+Zof7SJiRXqr8fZ+9cQUxBaBvR/6i7R5eVrR3F
uiYj536viM93nI0nP+re+6VCKDMur7wtucIiDii1LVipEw+D+R7y9Vh+gygkgmIJB9HfE6fsuO/8
HvCX13gvqH6QfdjWfMegtjMQgpCOX7+DQtjFQSIyzfFtueqPifpLVsODT7vNHJStbmhf8oJoY3eT
qj41ubRE3L4i6vRFOXPvb/43rGs6eYN7lVudZCxawiIW9IcMzEl7wn5rq6lJcRJiQRIUZn4JzkQe
En7RfI8tBYd45uQKa4O+WIk/C0cW4rqC35YGwjIgZyTmonytFNT2hiWFYtY7uPjTrweKnRvq66aw
cKEb0Rq3WADSCGxWjAigUywDMKMf5TNYgIwM1XfRTC5rV+t2XCNDXFuxD8jyiiWkoO1LlvW8RzjC
QhGJlws518NIwXIBo2mJOCm5syV5mUETszH08zqon6KyEgVHigtBWsQYsY8J6wIObdzECKgOpz6C
4Flhucs68SitWPO5VOp27OjbtpRXrEWEsrH1DdJk5xG4BPrY5NxjE00Kd3bLarAQcwWiCwOH3k8G
WwZUhcWTQYJnmTT81cVD0bXR0VvEa9iE46NDA5uSikNfDaKnmFSPBqloL9EvU0XlcaySozPTuRR8
PJfD8sJMucfuskfC2LEK+S1JlvvKYx8jdTddNwOvxbXpGPCC0e/XHFz0wwYktsHuC7HK/VxXSdGY
pE9x97Bvy7Ycq6BeH0oOpk727a4z+szU0hT/Odp+HW2QH/693vJfoMr7j//D0Yaf+q0tBvcKMSVk
cAohn/w1hAj7JcI/MIx/xgl/P9pwfmFqC70ohK/yC4n9zfXn/4JdiKfXRAkwTByA/2wx49/Wl+Ew
wzpmvEA8DQVcLvvL0SbmWNd1yNtb4k+vQuJQcGv77tvo2Ppdn9YMxAhi5nEE7XQDeROKq8RiWSq/
yIIayFUnoXOsAoHAeA12IvJ2mI0ftdyCgsfDmm3CXnmqzBkZsKgItUHyAAKhfwlsQZndCO7OZnnr
mBHp6tMfZSARASHwQAVmeMO3HzjfkMZt0GNiwIBruEXAPntXeCt07rmLDG5xHDjxmqywRTyWqaG3
u374b/bOazluK+2irzIvABfiAXDb6NzswEzxBkWKFHLOePp/Hdq0JXnsKV//rqmZGpdMkexGn/OF
vdeeLvrEMaUH6aEb2WoA83gyALPBQp7eClXsUbSVy4q2cRH0rAyygHV4OOPpst3L7GqPvT8HnKtR
ArhNGRA+tPyjiCNvDpDRZllAf+vvjKBdTzbOuArKyUIfxoc5DI6tnR9KvzyE/E5YxaN6ken6zRAl
yz5A/pqwavA1/c6f0pYSu8sWDN6gMjY94DfpCsMxus2MiTWeUz4CklY8oU5BR8/dV1Fw2+px+axW
wwOLieHQSh2c0TabFA8n25L6eQzgx+TJJisHIcdJBVty2o3OAKQb+s4xDPQHo8LT3EXDWWGKsEqS
bl7q1hysZhd0T8D8aaMU3Y2hhG+4r4oNGCNPA050KMRLO75AcFqbpXhpJqPYdLW6oQwMVnU5ZMWD
q4X5bapyJ79Hwfw2jDCfDdABdlcWuEE/zCu1Fp98nu8dhjF1O7Z6cdZr3z2bmd/sJ9f3TJemYbDF
lmEHi5YPl4zpTicjnlH3R9JFAwDucciHpS09NgZmG6Aw+lb9MODUH2acf8+5j3POpFv/63PuNmoS
2S39+aSTX/d50iFSRdyEPtVy6LBBlHxXxBvoTV2VWdfH9Pg7u7VE0IJihVv7B532t5OOnIiPU9HB
Ha261N7/CJqifYAYf1D4m0DlOYNVHR4mP8pPJ53m04UmtSguY63a61xuN03220wIh21oIxHsJ4yY
nTowe5YLU/hcrKTxjiS7VO5ZIx7MIyzdETOMUd3GCEK2Ftyp05D45VvZ+iC45d43TO3JXgQo073S
VQaU4poyXpo6a88VaL8viiratebDnvF86KaYvf2cEql03xyF/fuYWudA0xDWBOEA5wjpLCtuixGc
Xd8OugUQrAlhUXTSXGB3CjwJayoADqjtIjQa/b1AyP5kqWm+DayGUV7pNy89jRJduhPRfFNC2/FQ
H7qwL68HKULoEEgFUVAu+0Ez+3Oo5Gb/tWBkYR40Nu7TuG6LpNtoc9sp72bgxuEpNGVJCCQpr8+2
HIvYgTaGt2GM38ih30da2xqzPZzY5qMwUAMzZKFbpIMDAC/ty0EBrxWk0UEomEqpctPpNe71Chj7
4GJi88cvYkiNFwgrnF1IUfJ1EApGyp2YbtuhmLHYWmwDcz1SD8HAXBl+g8tyuA9eeZIiT83n+cVv
wvldROMTC/V1HkR7xYYxn2kCZ5SFIgZYU6AxkeymTYL59RBo7XSVFGO5tFo3GRdjVgAZjIYgWjdZ
i3UI3RuUyqR6RPOa7hD+3htJFWKmwBQZqgM1tFO3WxE34tYJy2zXKq17X6qVOI0u4hmmybItaS3U
E40KvRpixKtiD8reSFubrV92jh1NWdZtP256RWnGFW1j1S5HPyq/2UrR7KbSz28gmTU7S53FczBr
NlZptoKjn8RXdozeoFGq+IuGIBckjz1dNclcfJm7UTnw8KJftvPhHAe1/+TM2XCfy7V1V4zRrRKN
5SWUC+8cEjwkHDREzaJpTG1FCxG2q2a0mmVQY+D1AryVW73X312BdjU19vY4GNcTMNSAzbvQ3ksp
EqgiFZBY2YhFO1Bt/3sWf5zFxt+OU4iP/c/ivc5f6rco/z19/o+IDvnVnyeyJqHgRB3S5VBIfnie
Pkeymv2Lg9yRU9c28VFJNsYnAMPiT3iDQdmiB/qYnfw+VjF+cfAvy+JTkGwtMFF9UrYuv560fxfR
oek/K06BEuOSYMKpcQEgHPtpJOuOllK6mhGeFGzkS6vHeuTMk7ET/VQ99zX0ShyybV0jw2Iv4AHq
pgr1h6qJcRMk8cqdRU8MRK2bSzjzAXoxgaz6GjFXMb1Qd2kIHYIRthPyv7SPdT6/BrTzcQmtmFVT
YmvVvON6qoNm05ZKGt46LQVwbbUEaOSKzUJmDub4LivS/t5sg1j3UsrQ2xDhEZVeHIfrskTsB7Oz
2U4ha4/U6uyHXOsVtDT0iA9l5tL7GVY5T56ZQ7T0FAaNHq2hczGSvmQ7z2cV1YO1NV3wlvRtqX9m
GBWgs3Xi6Dg3CC086DjUw04kfM8t9F0eqJmXGXF3BL2bnWyR9zfMZcJV3SW6yUQi71nroV3o0sp5
1hH2gn5s3QK/Zd0JhEROZNlerKX2DeOMYvbmNou2aW3PXzMdQHAYmAxYvUmtrFpfd64Vl/7CNLqk
2Dm90W6smjekWUaj0n9po1rTVknPIs3EjB7mK84KfxarWYd+KO3+xjy7aKkc/rWprIONrbbzdVP3
8bPh5s21azf2Ok5BM8A5MsM7gIwn12jK4VIovJqXnCQXjGngHTMv8IuuoqUFCH12Ij3+kqSNfje6
HUNwBFNYs4ZcjdKtauQcp6Q2+PGu0up43Gd2ZA7vYnCCd/oqewOV1UdhGnKHRi45II3STItMqe1l
4kTNE019WQNXVhidzO2/J9dvBD1Kqr+uIhcdIYF/LiGlmejzwKKElJ5OuPXSuKQLTJqfBxaJjqqk
3bn8h8kuds/PA0uGQaJch8jzhwXqs1mWQZ9EEVFgYgjXVHQL/+DA+hBH/DwHxuJEJgL5ZSbFrjSR
fsf67suxgUQcGudmNFVvHvsdO+JqqcXgAGpRrUGAdBjtp0eb0eOyCcyvtQHcBiDU0pKw0XhkTdHW
4YEKRl3kas7cWK0Xzlx2yxF12ohpfMnGtPCKonud3PxLGAUrCLg36Ag3+dTusdHeVCVojLiapI6S
VJxa06/yDJZvoNj3TeIWXupmLRhQ/x7z1SMWfQw8xYzamfLCCoyzNoiVWxV7O612CUyd3dwT/8HR
4Xh9iK41mVe6U35jj3XTDYG1z3FXE9Tx6rBOd5v5YWTztUh0dAoGPOGFMLN8aZS+p460+3YZPgxa
95yMKMKwh271rkDKhZ9okYWAqVsgaV5UGqckq/ZpYhpIDOtvVR9iS0Sx782pc46g8oAmqc6x1bPW
zVowLBGoPjsrEvCkNYNpNfBPjSjUJZy4GR2nOX9zcIaeetP+Oke8uKWfhdc6ZNBF2NTvIbuiY1yk
O8tVIHfp5bQJ88Y5N9GIFdUeeNc6dIx10AZewpAMWnAeLlBNiQ2+K86WGrCqOdrBtRoY2mYuMVpW
QYToK4d7AAecQW2GsVSd0nhrGGOKqSnSN3EoCf8zvHoxwpOFTbbNqPmX2jjRL5tNtDYZEq/NAZYJ
/QFhRYWRrXIjvmLfdZjb+Jzk6D2nYF5GmfPNn2OxiO3MXCmo+ZcTeuUVdR7Fa4fmXI1DhxdCm6jx
K3fTxniH4rHuNq4O1TULaihH8JBv6KmdTVda4Yo4p3irqujBeulopa1RrlMNcW0285tWI8qFSKhi
7QQKtoxpQFZSBOVKgbKMYyKJ9lbTDBtkxHeT3ly6Ts1XoeJMi6ItX4sUF15Eyc7+1DX3pcusQfZE
i2mWL1Gk589DY8X3OUjpRRO6+XbqiOHQRyhHDNG1s4WdDWfIzAKC131hoNfcOgOdfziYkCvtLnoj
Vwr3bWz7qz7IlK3axuvOSle+n4PGAy67yFxQOeybMpSHyI6VeHCWNUIENL6xuJ618ToeuxshPbUN
a4TIS/X0BJS+3cIt/tbm82uLG3ndlohMUzetjxEMWs8YxTKtKwGYaWBmrNj9BuiReaMr3UPkFi1U
nrZjkBvqowZXqCu/DvxU9ozY3A9jWApOWG2UaLrTlEFj7h8IjwXCPucKXw3DpEGI6ljrciGVxBiw
2ghWUZ4re8Vk4WMY9z1MPo/u7I7aYW/H+WWwGwwS9rGxnn1bP3SF6J9gWb4Por0aTUVZ5AxblrRl
2AwAkG9dt4XuVDPXChL1Sue7hWV46HvzW0Uh5mlzeqQL1ha9az/MDp6bKJ4dZlPZW2OTwQCifVfE
0zUBNVfsrMgHkL7CPHMYREeoiMY+xHQ4FeOix55HhEq2yxtmfnZjWOtp4i3UquzcoWdPR/9ZLbov
pcnx4KgIAu2kPkSD9jImQkD7RODZN0Wwxm6Pt82AjWXWdCMNTtJZQ6jY9Ee2SI+dgLVpK+bFHSUN
IkPliPuVf7PFhNAlae+VbXHAWL0F7Zt74LjWsVpU58htp0UMvp0O012CDnlvfMFOo4+W0PXFF/bI
GaCjfDzmevu1MO1d3llPEH2tXZRpi7ieX8khQCxajFt+6XQd6thIM21epsI+hTGnjFsgwQXEk9AH
L/pC2yqV2E5DxbIiIrMhGq5JubtK9Qb8ZpS+to67tXPjpAXlRjGrTQBln/cUpInGP1svoRNFXhN1
35rIvhDb0a76Ytq1ckHVyeWjmVxDRle4CzovNaZD2KbXGbstLQrvUnZdoci3tlx+dWzB0qj1wFLX
yOobGw09gBmSH6LUc9SGKQebNAba737Hwop7DJ0YKqHGAWaapF4g8hs1quvVv13dr10dk7K/ro1k
V7eM3oP/1tB9N2LTxC+qA1TC0lXp59YonT7rIxo6CxsgKENQQz/UR4bxC5FHrB9YYksEx/fiTZny
BO6Q0klyhGWH+A/qI9b1P+3Jf81CcQyD6oiJnVzxf18fIVAOWYmShUIVlYXIwwCm8ogJK0FhTGHP
2dLPNqtGrj19xPs9zbdd4aOty4MrkJn2SxLmngFJPlCrZyh9mnYZtAZwUtxPMIubPnfPWdHO+8Do
0mhXtZN+R62mWDutUfFOu67SnjPf8PfJJBg4U5/E2m1ku6l5oJVLm68ukKLhWBvgCq+lJK0Xefru
M1NfFjlTKK8jNCLeqIxhmEI5UX/TVlO7M/mAKqAtQmojMuy659m0MXnbVage9M71D3VVsWbNcxyQ
IaMeHPBYeDt1ig5YPcwr36fEW8Su7750TR66C7Pyh3ljm6xXkjzsLiGhBmTaPNtJ8DWmolohnENo
Kaz3ss3eUVRiZOizynwbWhawYHz0KgDzP6vWuk2U7nkQAUwOXeV0GNiXgN8a4gUeEOdRU3Bcu6zE
ITaJftsYub4DKRJeKZRw20SrbfKBunE3l2W1QTNYsEan5ckSIh8tp8SlUXds03v/yJtbLgk59JAz
+UunzQ5OR7VJdpx9ZNEy7xIT3EbEMpS9awjliMVQHaAyNCYn9ooG2KqdJ8vScd8dM1QwBc5byo2z
EUdiA4asXShNxp3k4wYAP/FkhqBQEvzfC0YRm4KQBFqMEQNVPZwSFjmeGpJB6GI4X9a4cFaxUupn
FW/grTJYxk0uRP4eq2a9z6qIZI4eZSA8u7ccs9v/y0w62Yh9RNH+MU2Sc6G/PrUIpnvp3+uX5r9/
4e9dHZJzFpwuQj5D5X8Y83yeWnDWXRfoDq2WgJsuZ/KfYyiHU4svUgWb0d+oQJ9dHbMr2YBxAhoy
0E79R6cWbNefTi3LYfrNwSg4BXWiGH8aQ+WBQ/nbOzDW1DTYIrPZYOFxuPKGQ2f3E/I1vbkaO73Y
4LMFQgWNKo9NCvs8e60lqIrhwRZesbVyDahUwSCMRWyGlUdLMS9i+GbLUGKv7EpAYBvG7FIF7mMo
4VgMuQxvhJdFAslVDT/LKVwaBYha1VQ++iA/Meg4x1lCt2wcUlu8fPsgw6GaQOaaYcvBGLSPQjfv
A4sTpgXkhRUkWeZ1dN2q9YuOJ4+gh+Chz7DWDASCEYEjzT39fBSQwpgaY2ExjCcXhpgY+4MLU2yw
0zvFyo4tAh2PUIz7vPYpkTTCjfzhYM/mTQ6fTAuULzq8sgDiXKuC924gmZV28cTY8YSMP16EFlPs
EZgzD8VLm4JhziUQTbEh3ElEGprKFB8r1r3Jr6aV4+TdCrPgRL5Vdq5RDkGUM7aFBK+NQ3caZEpt
MA/aBvTFOobSNiY9xL6ELFBFnwGMia86RLekm9aDRLwZQX4ZYb5NYbaLCEoBCNJcRGffh5UPBMic
nkTEyjYa4Ikye0i8NI+KtRFNDbotm0Z9vq5xrq21MN2PoOjCOYNb2Or3AtMQwSDYadGHnOPe1k8p
KLvRCW6rkxnuBDR5dXAOYgJ+QrrsOrJ7NrAVIRgthobWaHtCMZynUNCjdVUO66iINuzbcSBnxdfE
FlBvJbBQr7R1Cn5vwhY3tdM24uxi8Ry/1rXxblv6O3MESJAg/ALiQUbJ9JvUPlvFSNYfDCshCWly
KJaBABbAAAHG7lLggFYXrhnVszoijmk1SYKgHggU9h/72dzq2tXQK9dRObzhEhxqz1IRqKpw3ecK
mJ0N6R3Pgw6Ssdy6QvLEdTkxdWwH47Gz1SUuvsCtTFDQHTiPJYCOlSrFsDy6PEcuXOHe8EIJnqdh
reDnBeMqsTvEtoRh0IB02gpFF8QSK71xewIPdd8AURrucldc+X2jcT+BvE+DmM8Fnr+VE5cw1SUa
Hz6NulYkLl8lceQw6fk1qbJfjQCkPju6G2BR0LqIf9phB20WYTvgLp8hpJsw3QN1PhcFn5RYAvtR
0F58CP5hpqrLUkL9RcwLmIvnFtp/U1yDnwTJVTs4zTJ/N4riNPoAaHrCAly9eDOblJEzMQKZmZUr
O2kQtI8KN6BMGxgsmbFQWcEynJUNMPh4ftZlPEF9FcfQmIZVVJB/W/k8Bn3mv4AEw50yVUdfJh3k
RB6MpbnNNQTyE2EISpC8Jx0fGT0veLYJTGhcxBkyQcEFvkZsSnpHjNw3V8YsBCPPnSGTF4o8WJnj
jI+h5NLvgyq/UvTROmpkNihRVp3GnlgmjOTxynZnfznKkIfO9wsvqDGthUN/7OvEwVCDUS11o9uw
5mm2zEDb1SmGANPnHSesicjDab4u/FIgl0Yx1WT9DAtAuTEwvTCX4IMVzoQJKz1IYzS7/rqf2nhZ
VDjzQckwTAop6fi7OqO6zkzjkJJ6ofrqnS+h6pre732q5hWz5jHC113XMWAgrX5KXARfK6yvIvaa
LgZm3SPybXsj08kL8HMk31ED0YZd59W/ncxHJ8N1+zc1wfI9/c8J9M9/m/Tyhb/XBDQlrPRVNpW/
Gga+qwlMhrY6l775KXD6rAk+xAJ0P/ADKH9V9vi/w1BMOCkOGDgk/sKwbPOfuQVosX6Y85qIoRgp
IxNgE4b64KeKoPVxcadzrl9yGns1ia7sABN4P62+e2V+24h9H4urfwiH/9Ak8JvoaIykusFg64Bm
4qdvREhhwpwrGS6WhaqxDVTHXFlzJ7uliEMVwoUy2HTvbXF2p+6qSsp7W6+J8GoohAei/lZJrSWH
vrbcJWJ98jon/OPsk6Q4q34CCl96mRMifJUD2rBJb0u+oaeX6aVQAbRodo5nttKrpaP0cjeMSTeT
UOSMwprRtJdrzbx0Wfbikc/XvujXumm1yw55FHxy7GW2+Qhf++jCbACTajwhDChwLlm3HDo3SjYC
drFObaT2XIgMPIi43dVufxr8jMxy9udIH1PkAXikdSms7Pr2muys9WB2j65TvwN+fQ6y6Ustr94E
+yoh8tHFqv2DIBdqzaZyK1y/3jRhzTtU1/eFCLaRY2LJxxlEL/xKS5as+wxIrOiRZKRyuw8ThSkj
h99aa+dnLcskxSo+mw6AqiklFa80lpVInjtbu6+bAJZq1i2gP9/QKW2gqm25bRVG2QQaDqYBR5hM
Uo8W7laZytTL2srxbPfZbbn12DZ2FbSupjMxATOmonm3ef9iICjdN2ei/lCFdQSCiGw0Z5JeIb7W
yErXBxARE2rvIdSiNQzWCyFm8RowwWbOzCP+ceghmrlxe17bUCogFIFXv6zcZ1BsW3YON0U+T0u4
4Q+RIAQlINBqYbTpbTN0O81K+mVtqF9V6NaLYJge0iiyNqMxn/URJGITxtDi5/pNS/U3fUgRVY/a
tkjdHWRCCL1QbFk5XGekk4JuFFe2MUODTfOvc1w+hXYTehmICLTNMcY1O9kOnbFhzu7prN2YKBKt
xSNGb2nSMCMcqV5IPMAxPztKO3mWGOEzqGMS9UBq2M5uzaHKl6o9rDVnkOPDetynKZ4xfdI81eeu
MY23QXV3kaWt+5nSgwDksn9ILEMOOQdNnRdYApEsj1q0TGJ9Z3B3auwLWllYOdULCv0bLVHeESPh
50d1W/A0Mtbu4dI1LTEu+LYHwgqUzGJAD1nDqRG8K8y4LTjIDCn7SDpxhi8ihoYyBuUxiFTfa8oR
V4DMsmuuyhjtX9tsh6F9IqqVaxFMdh+rRP4Vx0TwkTXy5IJO+JAqym5O2UeEQRiu5nFic9RHb2Jg
IU6QgbEYO+0G2NFmBFGToN3HesmQV5RPQ70ia2kXmjUpg8p2EvbLGKvPswVqCBpks5jS59S87Qf2
1V23LwsAmwracezv+poiJ3RNVEREyg7ETfS6sa61kNXGXPYbw47btaqx8Al68zk3NZAZxbD0Ffbz
5lBuOgy4UzF8qYuYwf9kPrStittWIcz0TmLiAsfEbVromZb+r2P0x6BjeYpyXZhMtmggcZHg9vhh
7AQ41TD9SUyXYfLshbnx9+NtccTNuVBe8sdylewYri78A/rybhlvjN3fH+Ny6/fjIc63dxFLWGzf
LEbNP3772oeNr4huvvT2S+nvXIRY7vhMssfin38fHW6ODaMW4Yb6U3C123JnRWQKXjREZrAE0/Td
DXaIrf7H9/nx9vv15eT15A7UAFQxGPzx96mo6q0OKvlFWIdaICylzjMf//53Mf/be/b9L/PTN+lC
VW10JKeXft08EOC06rfqm7OUCVlHOQRa3NQrVoZrfXt/cpbp4tQfo/VDs/JX1/F+WGyBHF61S/7F
ZbHmv6uHv//59B/tgr++CNIniBEds7z1oZv+btWbkouMUUPVLuxVT/61ulKP2mOwJ0qY+nc5LfZf
tM3onar1sLUAeRywrlyzcFojE/Y+fpT/76ZTHGC85n89XFql/1kW9cvbfxmJyy/8LCTR12MRJQzP
MLk5sXd+V0hCj+YtRCivw5Si0PxjuOT+Qg1pUnnqUAYoNPmjz+GSnDvpJnRUwteYS/yz4RK61x8O
BwbvDn8PJxNwNj5L/L0/fZgCH5WT1hPVBxhrkFldPaFdCqXvwo6b+kJqN+h9LssnyyxbfPCkzrQ2
wSxOxsq+Ufp8Pwes+oHH1Fx15iNdpL2scft4JYqr9WyyHc9kvi5FUe21ZlesKt/tvYrdLJ0kA3aZ
SmaMTohJxr53CSzjVsnXYiaEDnHlns9CsK2JN2uj8dEfMKz0cXlbFyFQNSVyt5oafEUQejca6oHV
76lQQwaxMj9NrWNtPVnQ5dFzXqVDtJlk2lpB7BoDiC9+q+9bAdI5JJhN7YN0HVTkOHQDLHv24a8C
BOu2lYluNRnLa7cY30Uh3m3HjZdshLtlQxCcOxpPuV7k+7JLyb8hLE7vw+tQpsfxYzLOz86JxfLQ
6G0PzHVRPIyYiFYcPZtEQ7VuIVFnwbcOChZhPs0yGrJ3kQI2kXL2Ii03ePff7Hq4GUQSbOGpOris
LEKOIc8v40gRq04Z0bgi5I0QzUeI53uposdMUbDRhtuUS419jNg+7YedIdpnUn2JNZV6fNJjzrNU
6Dvq9OCk7J8vY4NptmzHmfUlV6J7FSrlt1mynX2GO6smBhwAu59c0DkdN1nEiK+KYndXVlN4bST6
Pas8kt3I6t7qDjgFYDZfZhXxaMb2o7vrRBqccLKV+1nNajJalWRbWsVqiNUbjdEGRYbDqIYZ1yJR
owc5+2Ir3TkLQ6HfNgKi3EtRjkuraLk+leISxL6/EA2+LKHe2Qo8tiEmD7GjMUoFqLaclxhQrh+P
j6UVvdlGduUrMcpcrYLmULfZwla6FzNrmHCYxhfyWJ4pr7FwBPZmcs0Czm+81VUmZ1KbO3bzWtGN
HGCTs57YFoDTIJMxuRK+fdQ62OcODLlszr9BsnBWfeeIhbAmFrxJYC2gUHzVhPIE+YSh33iThu3V
1Ct3DFSfW65LmgRQUJ1ygFB0Ug3/fszjwzRkvFu+/hBkOOHC2r/zR/vQxrxCpR6Ya6Okbk0c95Tr
xGvZwz2T7HmRBinEC4WSmrzxV/KqboY6PgVlvdZ9mWZp92fE1DfGxO+S+RHJFdoO+7wHyn4fkCPZ
ieFQKtZrMLUPsl1BUYt4xTqDiNsadbYo1YiGp5merM5xNnGggAlBqeZxzGFXqRAYunLD7pOh7vVR
/VQ32R4G3jExWO+o80OXowbpCSn2KmPYse2KPB5YdDFKeoN45LU0MjbNSVovZuFsZCjvinWws/Lb
olnBcM7WpNpuZ5PZa1xmMUnXpTc2JA3qqGPkicsppRWrxOwvRUcHomN2X3f9dB2oEx49rIQqLwFn
0rUxiWPcuV8tgb+ztMW9LsyjYVaxZ3SIHVjswfeVR1wdzphj1FvdzdepHTL9LBtyOlAquZqVbjNG
hlraMgLOWgE4bnzs5uBWU81XO2OhHejOEde9vwkCRVnTv99gEahR6SQaGdX2q46Qf6XlKdYaUa4m
g6jyLNJJWHOmdcJCvW5n/zauZvI/au0uj/ocO5IdfS1D5SQIW17hFse/Ez0OYX+u3XCbWc63mRJ4
1TIVR6miohyqSjhLjaXgu23m7DFDkhUcZx3weyt6CQ61DijE71wZHVjLEMF5Lp4JSXKZRvcGbIH5
ye/Zc9l98ypasDJzV1/MKD2FgXY2SCkcSSvUZGwhEVL7dNZXSQDPo2uta1IKj51LDj0kzILfv1o5
pCCqCqjmWgYjWgMzfCaidwaZiZEPn5sMxbiHkZpgN+OnmZ+QvB+banrIrOG6HOILzwMvAomMGcmM
hNSpxJSieerVfMNipKOBaW9z8hw10exV8h1NdbzP4cT6pnUR5D+WLgw4h/8zymhIO0V6Olkml5wA
PhDJCMlc1dsFZyzRR+U2J2WylnGTdtZw7AicUDKK0pKhlCRTEk9ZxrtZBlYqCbvPjwhLGWaJLk7f
oWaJlqQPdatChl4mao3lWgZhBiNjAhmN+W9V9jHeM6lQ/roqu21fYL+kbKn/vPOTX/lZlrHYk0s7
YVr6p4j8950fPiH+SDd/E6X/sPNjhGexg8MXqSMv548+yzIbKTuSc5ehoHBtKQ39B0oFFA5/KstI
eeVHAB5gOiR+/FSWKY5iJPWYFuduEnxw0IZb8YlVY6yv2jZLLyyvezzsqXWyQAx3ofPVxI6zqvXs
rtcoRDItu6r0+ks6Ffu0yW+Y1y1bBU6sEftHtEfHciwSL7eRxxnsL+CcX+EPeZzj/N2NENcUvd5w
q4ji2grmtZaZbMvgFnd+SPqw2TGcb+Mjdhs2FY7JoKbPtVddYWbQEzC0HgIijHbUxHVEcphoA2od
hV0jMjJIA9lHvo3/kXUj+nJny/ibynb34iMRx/hIx/E/knLcj8F3LWfgsZyGdx+D8f7XITnjcvtj
cJ5+DNHtGvKb2zh1vE1yopxXVY1KY8VOifsOctBrh+YDzEH+aNM/sqaX2F+33pSRoC1G5WEPJDjF
Tjqsja44cgRVnt60JgVAtKpmTqfQNVaF39/rqv+gAL2jDr7p7czLqavMKV/2Cnq2wTq7MsDLKYVc
wd0wQXsBEH1IO1tBedgdGRIiNFDKrROSi1e72k1PXiYpnKvcr05Q8b/p3AuZMmxB9+0HkW0DvyIr
Mz9l+ngCa/8KlO/GDdOtHov7BFJ1aNlbXwvOIsQQU6XlbVpySOUyyUrdDFZzU7fO0hjhRwnzMbOx
O7lkGjvNnoIPCm9G2kDsfsu5Ls2U1ejQrQYyQkyg/1rRHP2ouRA4+aVm0mp3zrJUAFeS8TUX2Zli
h+Sm+ZQ3JlEA+uM8FMdejxdIbk+kG3llTPhgGJ5gZp8ag7RjFHbIsPexFW9KoT7rFoH3UXvEHPoa
FA6rRwrLwHbvTBaYSNg2jhiv6E7AWbvqqdPDJWFZp1ro1xVMzHZW7q3Q2KWAoCQgdFkm2a7RnIVD
kez61btrNl6fp492HN7TFty0obL2S+uKXm2td9lJjfsU8wYbZXN87fkhPDfXlmha2eHNe2IZvZoK
LbC1NeajAzbRHVQdVqxT/V7b+g034U09UbL5QW9d21a9icQQngBxoDfRWRGnarxDjAY+JtILJPvS
wke8aHVmpHo1aDxSHVkuad8o0DGHclk27tsUjCf4XkszM67sKLgeq1YsRwBbbMjspVFVz5R+PH6G
WJalvxmrflorhv9Mu3Qc3BH+c9bdIadZGYqBl9VsKZe4wRdago/YyEzZhtSjV/ZKTh2lHX3TvDHr
CNyByQY6HnnHsVNd4lLZNGa2LCFjb8swITq9seN1NWrHNu42xMl4FvgHdQCdw9PBuyUTmd2uuVR+
OHm52Rx0AwVBODVgQqKz6SdXRqVAKQcHCjW21Knchir7CuuUN2NWlvrQDMvYh6UAP+6adKxdQdW3
ZF5nEL1MCLM/o6kB0k5CqE4UY0hiRByVV1kEU5Vpood77am1UWxPOgNzJZtPnWYcmdK+CaNir+vo
W7/MSbCNqN3yuL8Ruf7QumKvWMRmK11KQEQOIDsajpYLOLI3OQEyJS09twRmoFd+h0KhrNZxN10V
lTYshBGdk6S67wUwUcQ+d4GweN61CHcOIA8nOQNF1VgkMzEy6vje7bPccyOpr7KU4WoujPQQsln5
dyLzq4GDrdnf3P3H9/rr+9uf7335Vd/d+6pUJ+I3+wQXfHfvc+EK07WQ2Ahp5/3c6xl/Dlb+/d4X
v7Afw41mGIb5q3jxH9z7FBF/uvcpIuR4xybjgOrkp1mtoeiD1lZJcqZv+D/2zqO7cWPdor8IXkiF
MCXBTFGxFXqCpVZLKOSMAvDr30bbbXc73Lc89+ROriW2SLDqC+fs0zVHv4up2+Mht7Unr0zd5bvT
kFTa10l9ayw4ZzM/zE2+Hw8HPcSCUSw7b/DinfcoJyYXVTw8ULg0J51iQj6HUTKunK5Il0LXXOdt
eD0hQQwEsVr7yhTgYlR+V6bT9aiRVEmh84q6F8hsk54qfb4pHJYibtg8kquwo22ft70HT0BXX5nd
3DGJ5RdYc7WPRrGl9y33duvfYkz7GMrGJAg0py0zdGdTqS5ltZbfaLbFulufumV/c+2V4S1bQwQ5
y/ggwgWHus/bD05lIqiA/eyYLzaBOitVEnDCpjzDiFIPG1/YyZ6OMdv4DTxuUYbOJq/lc4/AMyhE
lWIa4QCZKx0RhiyoYzSLYkU5ndxLggTILqzoxlYoNSeseFq2Jx+GubydiF1rGNlJr4vozu3c8ckZ
miW5ClZiO8biGliEuY6M2LgQxnKsR9u8kUVZBkULW8yp4dtDSm+3ssxpLvn2Z9jyvKfQr7s9MUNz
MEnUptNgkMs+poAFEqNBD9J31smrGiqm3J8YbbTYLeKj7WqOcfDTFk+1qVIuEzc1vhi1ZQc9lZiL
e/tK0vb0oQeINyUup2AaYlO/6YCC7MRH5v1N9m416XtW9k81VV+p61FAyu0u61J2MFSGgBWw6FIq
SmpGQXDpKJluUUuaWnpOVAw7kyrTWsrNbqk7qT/Zgl5w8QG5kJ2b3ohkghgPkMZKLrmQyXxlCB18
Wao2aZUApLKH8JBO8tDnyHLGEAPOCBlvk8/R2zyyQAtxoqwqf2nycwKwhV/Itd2IN2Q+DeINUjVJ
sGsDS46bHvgpQTOfogWcMXWFCOIB0dU0VdYKHP2lc1QeeLoo91rEzhrU82aM+S8Tfq80/I1Le79O
dURgmfDTNUXLsMMqOQT6qIM2VzobbIErpErpIfXuhFsbmpPIzE2cIbnVc/OzMxpcTlN5r1zEHf4E
9TosWhczgFwxrhOgnmwfBYr7nofRV8ZCGYOZDET7xH2rJTc9iQA8A+bG0Ht3ja8i35SYAldFidXc
49HXDTsKCh0sXRAKWlxSDcoZGFOC5O5IfkL58F/v+Ks0hDbrn3vHXfZeFH+9PnR+6Pfrw/jFEyhE
fyU+fhvZ/359mDBxAEuCYRMCSDHaj+9SUVYA4ORg1/82zv9DFgIjzvJM6JH8D8uspaP8F9cHCOA/
Xx82XAvd4Xd6nm1/a1B/FLiDxXfNsff8azOHwJoIY64IGFvgXpZGQOxGSI78z4zHmlsCykCB5QsV
bAYP5iT+uSn4BlR5+iVlpjWRETOYHeEsts0Qo7KycQGhzYditOpNP/i3qac+8JoQOd7QTvTmTsMI
ErVxEIl6p2MQ8TCKjJW21zCOiAZnEuzbc5So23Txljhdg1vf2bs6SJQkoTjlfMKfpPFgTzvkLxdz
1oN4cayoxbuCWn1Pej1uEM34kmBvofQVh8Zzn7HncAmqN7CUV6DZMrFYrJwXHwVet/hluKjem8kL
0sVJkyyeGoBU9TXBIlu2z2jVB2NfY8AZFieOWjw5qaU1sOzw6egWycU9IXBBW85POYYeb3H2qMXj
0yxuHxPbj7Tx0lkE2TSLI8hoIhfErfHqYRZiHTIE9eIfgoj5kmMogip/zx1xPS5OIy0PxTZf3Ee4
LQ9q8SN9678NFvmBrsB/lItviUBIK+hJCVljM2VTP93mgkhEpK0rAFpfpxyksr44oZoyZI7P8tuK
iEI3e9zihvHRmdrRwEaluumcLL6qcHFYDd+8VovriigMAMCLE2vEkjVjzcq1Qj3zeUKe/jznzpUN
9IgGBEtPctSd8F4tHq8GRmAbsO+uUeubRT9vijiFilxl1BoI6brUR6AXCfeQtZ6tgQaSu9jzUD/A
DfSvuG3l0U3LYWdKrNu8L5W+IU+h2kEA8u9D3E3+OpuW3Ju6JHl6EBORnI2wsyDrx2hnTCVYexd/
/dnNsp4CyfH22gy57r/j8Nfj8H+O0ra4yf6O4LDMor6fhwa0L9JvPaRtwCwx6fyw3UQ6TxnLAtPR
+S8Ep+j38xArkCdcNPXflHDfTtHvYzQBbxfNvCtcE+0ZaIh/cx66fwVj+ozpfEfQquM+AifPefnD
ljzN8W+MXeheAAMeo64eiqtOmRPJD/lQVZRpcT/vPNUSWiHzaHws/QUVW/oFfsMukS+j1d7nsp4C
2RYpR0O/IzIvQNJCP00aBzl3GVBsn/wrShNm3iLeQB6og2IWFyzhHZIj7aWkpMYA/aT60khvOxzI
95hT9z4w68IN8cExFI/0WLukYeEpGC7ktuZa9DJVnbwJQxk7NzKb3BtReOiWbOCRFjABUmMC0t31
4sFxNWsbMvJXIFCMEIyP1sr4sWenNWyyVD2lpi+xe6flns43mdhmNVcqsY+qF3ciIok8dItHfc4e
CNqxVqWs3sxFue/InjRH4MINaemkf36RRTKTS2JfnN5EjD8+9jIWa4vdqjZogZYzTY8WwbpdVUbg
TQoZbUFgtmHLJ/TRHpKrFAmxuOfiuObLDndTi7+avvuQ9/a7bifxps15U4RH+quVskZCML5X/H6o
91X6mSwUVk4q3uszcqd6Ua3lmfdQZ4a5LQvS3gur4wRLzL2EVFEMA2m8Kj5YkhwUkUsXm6lL2a6n
DD6SOmMGPx2tyrwNGQWtZ0si57fNPc2PgSY+VWt/Gs0DtTl6u17/qpd+4PVtvgZcESIGb3d54b9G
sjwxDz4x3MK943GCWrN/74ZcJL5st2OofRX+vM308QBt7cJ9xxAobIKq4UDLiyWTMaw+uhKRkxNT
03PGvynpj0RDFs880h3sxsHdO8sWncfrFjV6R2xdeelEorGCDW8yH0ViVDI2kwYxS+S19SynVmRs
iDX+9HZxvDMhLJ/7xGxIIu+OHZ9g1/ZbsMbxbhR0GY5el5u5IFZ4oPOrxZPRdhd6z4cEsNIaSs5j
Hsk7acsYmTmgpcjRmCV21mqQzd3khg/YcW/nuucrYuDmArkccY3F0Oyb8KYP5/1E+Dm5otpbU2uE
u9h0ZJNg/DUbJGmpHrQ1LChyRnU7MOxpPpaVe51M5bQt4fKvq76w1vmQdavaVmf8FF/BQx/j3gOv
18ZXTlIRP6q7JxBhxk73swyUXg0LjvGVbSSvjV6p7eR3135jPw+a1Nd81YdVMuUMbXrrI58wkKVV
edfP1brrXXisTOxcd5xXdgF9pEsZ+aq52Gs2T2e4bEfbLH7PJnNmz+Q+CyXuTeSAh6EkRSFrzAPl
oBWAcjnLATu/Y6O31HPb3qo6uY4jB9Zgepdnw4UeSqO4cQk/SNJNnPt0UkW9dTJW86pSiDwbsPl1
4TwogzBXvdE/QtP+rFvZG+CaQ60sVmZRx2peM9/tVntsE9df53n+mKvO3Jg+JO+pMxhL5i/lZJ+E
Vk6CHMBJgvJ27dG5tRKvcgHjkv8zyfqLpeBvm6LmW85suhf1laMtERQpQoVh/tJY5kuNx3Pv62BP
K9+9mfuBwAf6wMBusOPjsCLESU5v4RS2LAA6Kp0Ov26lZ/uJyCMSy9OEs9b6XDn2fZdj1lPSw+fR
hyqADpMESVUV6yLWLwNejw0CyfdhnqCECZa0iTkEQ1i6+zQtfMiMdsbAsYY6qyN+wHX/hko1Xxst
aEI9VOISj3RuQ1uPqIcZHVtmfacKdoGTh8PHmIdNGhfAdrx420XWFMT0rTSGsrqiHz5Mefg5L0Zo
xwxGN7hXIyIXeFqrJnlz3AJBQ5jMG1GE28i2pr1TNPWhrOxtih0okK6TbT0AVivOw3lHHN/nxhPb
otFwTIe7ku33rdRih1FF7K+mVulk7+T+lrEKxF0xhbfMJqutWxuHOrLOCYPgbZcn3g7JSRQASNDX
IbPko+z7rylpN1tZddbRZLGyhuVD8NYYFXtZFPOnWeV8NmrStgK31kpjT76KTIwKohsOVh5Slxoe
iFsxnKLMP4b+fNLimZbZQCoQpvNtky/+V/fe01znPLeIJmSPN4pV+k3Vy4fCRMObQg7aVmx7Vr3U
mnVidW9OTYByDop/N3powScDo61ngmo3MnnTxUjXQ6r7tIyHXVXNJ1DV5zCzAnC7NwPbqI2VLGF+
yH1WsdtcfJG8edjZsjZE2+P6KD4cTQSZJo6l5U2b0IlQcM60LLquHo0+fS1T7YaUuvs00sq1jmBx
kzSGs2rs6j2DBBzlOgl4lg3HOiaqvof3EKhMf6lihAxDH19Cv8dqRWBfQH5kuC7D9FR4cLGTMYke
a5kFuDNeHHQJDHTSjZvlHwAyXoSlgejsLtU3YXGXv4VsEzeGT8nt59ljTzjoqoyRDZuEGs56pQda
Fl8ZpByDQElPWUMlYnOnCm3gADOM99Fr924fnr1wynd6PB3p2nwS+UjPFMVTPjWXsSAM0ZlyvKwJ
eSBhc6xb4ySy/KtWeR9qRInhIEYqam0ftsk7Ovpt25fdrnWrTUsuF7M07VFP9PMcnfKEtX/v4jxK
aeiSL5IdIIsCmqbGJTeJYY3ovGjdOiQ/tQoRRMrHkyN6IfjjNM48z3FoojAxSU2BsrrCUXAfJxH/
MQf4kOPdbzJjZQPAxNPnxTsqt89UYAfC27Y1lQ7yb+c4C0hKfRVfO7VHo6KeDItfzr6ShJjklCIA
21l5x77Tf4pcgs0qXEC6m+OEKh4NiwsPCzVJHga51B79Zxp/apSigW31mBSx+qaK/TOJBRgScOj1
GlRrl0YZgX2+g5OAxMNcIn1UvmJRj3EIjOoWuAsyqnkhczWoe4aaP80rQJlTdxKmFxNKbS3VQ3Nw
LXlUU/IhDRFvI+VdT0ayK+dd67M39XYNW0JjPHta+iAzsiBJfc7XOEp2SbKwqFwKGWv+Ynlq66jo
i+fEZ9vsWc2EuuTDql/L0oRfYapEcBEPzYmvz0O0zHmRQjwalUv/RrB222y8vRWxIIQoM3RpEHpW
dVt8mxzrBTuqTUzWrvYkh7LUGaUVbXNk/KpyJGRq8AY4iIM2gcsTnwtdxFpghwixI3CJceD56bFU
CGrGFPQg8o3d7EdoY0ptq7kJQPlUU9vYLgM7T/sgHMpnmA00ht5QM7CMjE1mJp+sprhXtjNuWwum
R9I82TExEzmFlxbCemRCf5Cu/Uo/fzPGPhxsF3q6jLt8Td3VrtPUJg5WDcZKQ2PEdcKslRHesLiy
HT6/5bOjNu99QOa+PNcNiNussoOxcy9DF1/7vXuGAOCvijZ5NQjdaX37TEoG1U1ZfeFuYamZZRjf
vU9tHNvHrtffZ5LHdnOi4wUdvL099De4ZcnMkBDDaSVW1DUqcMLia6PyvUUoxBqcDojB1jmTtntn
psMG5tewFnmp9py7Z19ZO3cSXHZQavb9wDc6MXlB0TCPtDPIhgYOiBZ4EDSfXWVS7fpG+jmtCWqS
12lFhLuYVmq0DqKBXeN7w0Ujyxu1H4QBkXyFiIT6mIAzNcWXMtIvAiBuVgwX27x2UL1pcx00jRYd
B718SlV06GT8QiDrp8ovUdzPJOg2u9Fx7zEYMJTML1Ntfo4r8i9ajZMxjw7z5M6HpM8+8w/8RKCv
EwAWDTeyq+ITp8JnOy+Hp3wemJfXyWmkxw9atomEks9XapiwZzoGGXc6FgBSK1XxmlYelmOWvfnk
v2SiPMeWfMoVcsL/GvpvDb3Buuif55uEH4A1+tr9dcS5/Nz3lt60flladhhmqFnQlrM8+33EaZNo
AYWDZtZawib+2JBhb7Ppsgm7sJBNA/5AZvxbSw/+jEA302ZN9n0Q8C9GnH+WK9ueaXm+jyoGaBpq
6j819F0PmsYthbrp9WOUAH26K9vdD2/K37jefrXP/WyY0AWthg/5EZQ5f+/PUwOD5XqSpG11YylM
Zi3L2hZbibTMwrqRelMz0CudMb2dv+UFSindZ0Z+ZnrLnmFaS8JpzaPpVOuWtMFajmeipDasijdz
zFa5X3IJp+wmRK2Sldphav29Rn5hp+OwmUg0nGuSDeN2TzoNKxwyD4uY8ENBCiI42GuNVMRsSl81
qFh9VR2gAz2jy+X+iuV1xLLfM7ODu4QrGqQscpnvqiV2MWMEuYuXKEYNg8uqE2pfLzGNPWRW19vX
Vrvmz3uOHP2gL5mOiBXYZhXvWetLRJyIYKb8PVxyIL286lblkg1ZExJJ8sIZvY4KvGIR8qkls8vV
v4xESxI6ltPNFQiSomNomp+aJYXSjLundMmllJN6awmqnJbEyjqproolw9KvXSsQS65lWDb3TQwf
y7XLbhMRfpkvKZhda92SKxoxtO6ftcTazmxdNgzkYWiZ3UeypGmCXixZh5XYI+2TuyRuVkv2Zrak
cDo6uDSK5Yh8477YxBXUTYNNPUOL+ckgyNPi41yVvXYnFPHkuZk9qNzHpOylL9qSA2qq6gAKM7lk
nWK1r6XHFoIJO5qawDqCRKPuzUrKrY8iAKSMubbHmpIE1VE4Q5wLa48Oi1jSxiOftCOodCawtIoR
rSoiTHvXfvNaMk1ha354S8ppZJN3Wnf+A9r0DztWa51A1LimKzaISJVLVqoxeuuSXSqSrS/Gkqba
2MxB8EMesjilBSZyNfYWYbuFzcluyWO1Nd1fCyJaEWR+GiIyWzXCW6Ulm2VYc88urQ5KN+rXRYjs
1oaiNDDSnpdxq+8l9yZRE0hZqQH84SkF84ufyvlIEv+zMNJvC2hra7HOJJZJpldFDrI3Qqmx5lz5
FE31fWGL6kiE0nWUuW4gS6l4WMfPQ5Lx9Kgat7zi/SBp7SV1Qkx6DOQHhGk2YMDt0Oif0ijjYsbH
PWpLclTU0bBpH53mvUB3Q4tJJJ1rGYzhWC36M2Qzp0Q2Z03poTIXe5eymzrcV7wbPj7R+kFEal6x
KOAp97P0U6pb/kHMY3JDxPNDXZsMlav3HGNCnFYZKITqKzt65jB0ZUhbaR9TRZoNi94n2+5Aa5Ec
1zqPhb8ZWSVOyTlfkgU07a7pE39ZHWTQfEKyiuFZeyTKjUTP+1W5bjMhVvQw68iqsM5ZVzZJPCxX
4NwDUKv4bi6O/0tbus/SE++xPtYrjrWaMZCxzZGpDHI6sZ961UZCyLsYnEL/EvVI9zhz7prC2AAh
uCsN66AM7Q7QWeBo0SP6vJfWE4wy9ZOvohv8VjcTuPq57bbkMq5Df/pKdUKQq5sEadulG/hdZGpD
bWgbFpi0tU01XFyiRZo6zZh/zQFjQcVYlLo08TSGE9r11DWPOVGRm9Bs39tObs16fNLad9HzJA6O
u7VswIHsTVWGTyBUbKVQ2WjaRmfL/ehG8KbrmtTeJIIFAfanq0DsWM95acMZmOuNOwCdJRd9EVml
pV0BS4Ucueumsll7GYsWz8of07rdNp16Vip7JD3tBQOCdav3Yr7hwqu3TVa/1qZxkI31dQy963qe
Ln7ms3rNadvIEjQCVJceEqQs3uZzjkot96arKJf3xEZ/YbymLXCj7NRQGbE96nD1FQxW7E6+FCaf
opIPcVwmgW9px35on3ujnOmrrXwbLk5NuN2EucfcPSQzcgYQH+EEbV/N11rnaQ9Owoximny1iZqS
urGxW4QEbR/YnZvv+TZ7QZ11ge0Mw34wOrWjFSsJfyqnHdRZyfqGuKWoY0RFzyn2Cjr4nuXUDbCS
O8C2SzW2S4Zl46SFb3HJ0HR2jAd2Z8+NMd5HQHUPuKifS1+BConm8PK/r12Khz+5FHXMq0AQHJaX
Lmydny9dJ+sr/Ol1f1MSo+kYgMYfHP7VgvVf8v+5+36uIihTTJYO0J2NRbPLtmFZo/6wFmjbkjwH
5GY3XrgJ08d62krt/zHo/X8vsfz/P7wEWPQsU32mbiq+mOChyU3+bFf3//s9+9sX8dkcg3qmxlqq
rh9fpJVpOiaFUjdW81CX51G7aMPhf7/EXz8W3qofXmIRLP3wd3SMLCLDHtWN7d3n9XaGgU0VUriv
yfT/vNIiaf656vr5lZZ/yQ+vlMlB5A60k5t6Ire2YDZrHvucTmEz5McZwc3//sN+Vlr9+gzAaBAw
n5Bfs8L6+eUQJY1z0xmKleaz0WFpcB4ieZry528v85870sDJ+M+9xiGv3pv4NfubXoOf+95rGDQU
iyUafwwVGiSLP3oNUIIIwQyXw+AbRIuf+r4+pEGB4AdoECoWXYjDSfF9fWj+4uCM9KBv0CUsOZ//
Zn3IOvKnRxKEISnPwiQUiVNpaTv+dE64kkj1keyEq9FipbU1UnIAryoXVsWHPs+FoNTq9I7b3WL9
MO9LJ01VQbmccII5dnoXmgwFPOw3+8YY3AnMrvkW6UwwSj98BYxxjyotv0GBJ/GTOeYWSH5Evau3
V6XjfMgKHVeaEyZsFKB4mfWSkdYCRELT5CImM8R5pjE/aEXWUe4zFJ/Wo8OKMCE+4YLWjf0Msy4W
NekJ3X0RAC2fto2gmkViiL0P6MQaxgWrJ9akF3uYjqmIz17ZhSdEtek21XxGCKhFUFSbhNxCVJi2
o+8ySu+4hmtqvLWRuktGETciIHgYCLb2Aiv9unLG4ujK/sFwpE6xw0CIwVO1jvxJuzSJ86YKLvq6
dI1dKZKPOUk+M13CTmUPRn5QIaF1lZ1MnxiqhmxB5FVERt2hl8l7F83mC2UvCydWoNvByerAbTPU
xMgBSIHzC/+Er8zYOErXjqgF9bOIi24Xw78gNah3zo3r3nqgme6pBQ9KTg9ahfyrtMmn1r3y1nWY
jsPsgEum2w7lKV3cnDLos3WF6GRKtbMhe2yDUyPFy1BFbPZ0i4zucDK6HaDfiTJ5bhqnuZZ8dgOM
x/hqMqjZ0W0ZIZuphN/kr0keIdnN82vWm0ghxKFaaJGauYAjQUXPx2aAJhl/A0uW5HGzUuNNCK99
hnEMw1L/YzD89GyylzSifL63B+7p4L/T69ukZOGz//Ppdd28FtH7X8+u5ad+P7tchiHwZRH/fkve
5Lr6PidBFUF4AyZOahnC05YD6o+zy0fgy6SE7Z9BXP0PZ5e1OJI4ZpCX/XtCEIXMX84uJMkgjnXi
i/B2L8bzH69TqrkpVq4eouckdtyas9RnJQoKVBtr/VS47TJ+1kGF2ok8EoX7wj0P8spN3qxBGHAA
hWLvLDMSO2sLH4Ne1dVmTBjnr4lyKB+jBpfLmjMa4nIhpwp6deyYK8Ua6JWYyfidqWnILqAQMhAt
2M6CPqfgbOQgi5MaflqLij9r7GFbNwkq/MnFluinExvxHvd5GldItxIBamWEwK55EcqAlFQ3pgMA
ZUz/K4NlLODTQuyzEn+bEVy2aie8jLKJjlnPITSXp1boV/Osbg1rZhvr70NLO0NSOxiRPIxxSKCu
g898NjQBAXRA5U8pzNHj7PRKu0mGOrmrQu/UYQJeO5FXcIC1xrmA4LU2NZVuJoe09gaKSODW/fXY
tddaymhERUDcJpJp5hIDpowYta0yDJMV8uip+Uit7j7O9HsuwFxQmHfFjVZj87JsvPJ1tY0qRz4z
21+7LEjDNsyvBjuDv1LKDwDXIPsqFwt56WEf6QN/snICGYXaVt7SlNazyWA33xU1f26FPgWtLGvr
2XUC0yjk9cAGch9X8MYt0W47qPYQxhGpAjZjDQyCx8e+WZk4OmLtChgaRyyGhqmv7E8tVCVXpvGq
mTJvq2fIYLIqh+4yY9Ot3OpFAGNOVobmx8QHmAyO26lJdj98Ff9mPvfzpUxYDF84GgRITHiidM/5
k0Q+0aXSU79NLqYuq62VKfNVTssieYJU+9+k+DcnBcfFP59/V+XfCb9MfuaH029hnJJbYX4nnf1+
+vm/OAyJdVZIpEqiaf3j9POIWePIRBRme7/Jxb5XbpymVIIeeq1fWav/zj/pLyPaP5oJsQjOPPBo
y9yZTB1qy59Pv3ZmV9qL3rlEVjGfa5wbVbsqAdvbIA6jYZ5Xc9izS9M4yzIEDKRRXU16jpmJw4kT
pCOg7MrrYx1PFOp2x2XrqU+avQk1Bir+BqIWa1drhpyPGwFHVIS8K9eqYCZKbPHCc5hVxBU3zCP8
AWDULfRoRiZSgxaPUwyVzlg8mXofr8F/7LsCLnzbEq5YL7gs7FjfMivbbdjrDwlZjE3hZJsyTwIS
I+6KJa7RMJjKAiw8VWV+KurwbJDsOLUVLNIl7LGqWGdWBxKaQ9QwiMjjJRgydVFGZaOLeHyJjUSa
E62GEV0riZLsukkRiCzUToRNVkvsJPiZKkBAcGxIpDQXhX3cD8/dSFilEWUUiboImC/ctEugpXIG
bO9LyCW46g5W2zwGaedkID4Jw5xEI0Domxtd9FOQ9ERmKm/4qtkjOCmyjPuFDpKHxtdxZBTWczIl
ePTjJYKTMu2ceEhk46Z57MWUr5NanQnLI7wzRjaPjeqe7IFt7RLwiWoUzxbb8LAJq4MtU2QbdnlJ
zPKurtU6dKsTbNe1pG8mp5qy2a03U599sSdkPY0cgg5NzUCoPXwrbU11dwQRSWwkHAcUC+x9u5ED
PytTSGwuO0+L4aPG/A1SQXLWpxlxVPTUw59dp6Ufw8204kBzopvRRR1h+93aqLvjgIF1VevNU1TS
686pOE2Tcd8BGXUIgsKEZ2BhTe6iYjjHAlGEG7PEd+Z4E4opW1W2Fu6bNJRrffRvsDa4G6+23svM
aPdGVbZMdsuLMKh5JaOlwko/cZo+LlDesqqvNQlzz/VTCCEZgC+gH6Qb5Y9oSoLlKu1160Wv8FKy
FN8NKrsfU0GgE/lxTijZR3hSrKc2GXjQTXmqqsYILJ+kb6nUU+EC8kzMDmovIgy7fbBb2oyoQQAj
wdC2gtEZeAPRfRlZ3CMOVIoFREr/kBpBCRGXvqK/R1aTrkqymjblFB2i1o4QZ7OpdxgHe9HnWhDx
PMZQR/0krjdMrIy1rfefhpjdrJHagNIdeYQMctRd/7WYvQZ8HyxYszTuAXRt48Z+QAuw06zyRuH1
ww5o3du0m4HH5gYQjYYsy76K3UpbW2m8HePsKbbdYlcY02sezeM+nSL2tawCCE6Gqa6lxMvkWbmF
avKScOvy/mCSyUY4hT5424D5zQ5wa3OOHa53xZI/NDN746GEhWCDjKKdrg3Dfm8YgazKBm+k634q
sVEem5zgFccY30Fr3CUsyXEcEnVlZKjC2nn6UAOtCnDoIggjgrWYq3kLetHYZa4q12HW3zthyqND
DbvCgV3yAMQgW6dSrNH079NofHVkV9BQFsVmdPyrRfGFU/s97UYrKMcMQXnKrkZ0JOtq+kej7BNS
w/1EYl/hEhzuyBrJA1pJYKanZTO29UYNVGLv3NnkqB+ijoINUzk7FjO5MtL8OM1yBzn1BCnzNgGT
mGfJQXb1fSgJNBl9yMaqOU9leO1o1UPl4dS0JkbcOikkJ59zkbMRuxBxMPCme7VL0vKpKGHyuQqF
BfKglQAsuVER2tt4UI9+C5CjL5GwDEXFL49TNL2dxddx3KZ9r69yzyrX/mjmWwxJT6Z6V81EbycQ
oxYo5iTKuXGR0Blo6bJFVIek4bFZZHYWejvTFu9yEeBNqYuaEU2e3pZvFOTYcXX6Mx6GCvVetcj4
FHV/IBZpn7GI/OrcvRmQDkUWpCItQgiYoQgUKAP5UwPVy2swivaWvZ+3jhYZ4Zy5Z5d2JJAQJvpF
aojRazzYi/qwCp8l/Ntdgy4xZ7AJ4gKporGIFhnxfrIWGaOzCBrV2Az+b0C2/2Zcy/L7n6ukQzH9
Dfxr+ZnfqyTxi0MBAkL193rn9yqJWojezIQK+1vy1+894lIK2b5JUUEH5+Pj+WO+JX5xQVNQ2rD7
psb6t3ahpVT+sUoCSegvebMM2RiCEkH2c5VkyawyosHtLnnqyG1ZZnEwljkbx9vp13S8+NesPFsO
Osl56YCDTxidaQAxMadCre0pxsJMDkU9XQOPEqh4vF4tV70xOjVRMyKT1g6KK0L8lW1nMXHxWpgM
ZqCFflnwLXF6+8bte78pApeAHfs0CqHacW0QEtq+ujOQ8xk4DWR0lEq/PrxEHjW7pK38K1nr8hCR
SraqlbI/1WUFCAkCTM3XQ6zsNGEBXavhRHjwtEXTXlzcLO3vDCdVX/RCiApGl4y+kLwwcgrr+XJC
lyw8y/CSaMLewmuSe/p17NuesiYct2Z4QD2nriBMqIsBniagzPgoFcp8+iyzeSX/pl1nHbKttUT8
d8Cl3j2YGN1JgyjEmzdn/m6QmWJPDAMXY/4uwwN75816thkXgXvW66ON/BIIh+g6VNOOPl0aUGac
VzhJ7cpAbdS2MLxY0ltfhnno9nWoA5AxKtoz35fmZyy4842cOXhXqdmbX1I2iae+bqPDhGPnmb7P
gkltIsKsWG/NEAOu+z594y0tDtTKxr3Rxnq2TnQImbZCoSrcUl6mPI2CaBLxRcRtu/MJnNoks+9d
5pp9Ul5T8/hTjuUf79Eb6q7sDNOnfezzst+2flJAi4vNK8syMhTnsk3RZIdcDGPt3LI21rZMyNob
K7aqgNFBeUKzOZzaNj0ifaR+9DRvW4tp/FA26AuvyqPjWMYYK0XiatA6HB0qcQvct5wQgHcdg756
8nApR4jCbWBpq1E0NMKz6YfHrNGcR5bfT1AhzLOpedU1//xwq6Wga9vSRBvaNPo1lxUgV08lhyhG
7leCIGMpW013svFUMLSK2jHuxw0NRbht67aNgm8Hyn8nq6Cr/+eT9aXM/uZkXX7m+8lqGr8AaORw
NDAZ+fYi0fl+spLEyPGo/x97Z9Lctrl/6a/yr94jhfl90VW9aIIzRZGULFvSBmXLEuZ5xqfvB0on
kRTHruyTxc2915ZhkBh+wznPoQEVtvpK2v7zySp/c1j4MDxg9Kap1mxX+qP/xMikkf4hGfPThOKi
/DebAxIjPjxZX22YrCkIFBeUXQ4vhbfTt6YiuBql43Aid1tZFBKTsld9anRShyJ9bJbAO/NPIaie
k96k6W3detVWUbV2206expxuYJCde7PhwbgmzUhlXAbyehTRs0GorNtwcxyCsvvmtH3xKR9hosVl
Mpwd32ekn2bCdVovp/7ujhWm4kWDaLgjTfSE8Q7qXY+bHb4dmCyQsVy9RP5hc79LkXFvk8RoN5Fj
bIDk7EjGQXjSVuvBjPQlsJ7wlBBJ6DLzfCQnvMfEJD9nkx7e4czIjwEvhXUz0QJSFPMM5yM4hZr0
1oPaONsSvN/J73UYAKmTbvtCOCQkGAypsqlZ+L64z9lQIMQhg24OHWtLkgMd5aG3NGC+ZDc6rApc
Kyj2amviwPHVle53+7hSDl0uP/NpHnMa4gUbGRRKNiP6LA4erc78SmkL0qjPv/hl/KWysmRVBD5F
kh/eNoQgQDNSQFBmmmDG52/jCduRYqfPeNyTBbTpvV2xXmimDKidFUXrBmDIOvAQ7WfWRMkPac+x
i1v25tcmOeFyCreGR7SCWRjfvbE+o8vsrmKMjwsgbuqq7OU1LiGmjt50beV8pQ1AQ4A25zg1vgH/
AaMTPykerpY8IFYgGU52jzhaFFpD340gjciWHQs1y8UHWS973yGNUDaunppbG8EpOHC5yoVBMawF
D4U/XQgLPUQltiBlmBRKYZg1XB9EbkoS9U7GqEbGNxUr3bgTDeJ7EfgHxTMnDL+YWZcJClPkH9az
wkMb2w1CJ2UE0Ak42nMi66h2yb6LqM2FxfQPic2VQQFNjDpdrqdqhBxbiL1HK6ZPhc5TK5N+U1lW
ByGFLYvpx0+lXpiI38IREwxkh5xxrqoSlwv7ig85rL2dMtakbuH9cXtucFflSjX84ibJcHB0obkb
JGUt/B/1UxZ4NfUv/GyC8RaVFSElcux0NhMg8oZDYIze8zjq21CRFgGj1qeq8UghzhpXxHiUBauw
2mIzhL96kfb0CJDhdgq5HCeBnmQxyKqBbRra66Eyb7s4p9NqrCtaSUAx2ei4Kq6EKmnDPQbVQ2km
eDjykG+pYdxt3Nead1J6f91PtCC8XDdNiSPXdVIg8UDBF/6I+qtMvgWJtZYUNI3ObVIUYuCDTR+L
oN4zvil2sULDnoSadgoYuS+9Vglu6If9fWYiZmuld92VNHwM1lf66MCDzEAdGRAoFl4xXEaNHmEs
i3jPsp0xsq57W7VsaErr3NyMPup4VSlroJ7ZwQ9UsRr91tjXtj/ty0hTyOUo1VVeFhcbwuR6ise9
ovr3hZIaZz0ic4enX7xTeDsTsVrsFWOO9PC9FU6th1JE/kudpUuslq15EVH0PEVTg3zeMZrqv/nt
7/NbjRfeP78/DwSw8678EJY1/8wf70/i+GzNBhxNWrDQXjP3/nx/qr8RLaGx+OaONwDh/TW/pf14
ld4S8Yd+Rszq2z/enyadCa9iFUKIzeqLddS/UPm+jmffNiZ4diXM8pmBA04cMe7716fQCp/nxtRc
CxI9FzEAUZClgZ6wZTGdjejkV6gt/bqcU2K1cYpMZZ/WssUoJubY7VCfE7gDb07jxrnOiiJqI1Ae
hWK14lwgaOzPWV9cFwx4PuEAgQkZGBMx3/VUsxoOiP5OLJqgbPQ3herR7/ionrwRJActkm5OZK6+
Vnsl66l2Z3pKCp9Ua0RSP6QB6M8CisykYyYxWrsOa7ZgQ6jt07Sf8lt/YoWMFtebWX6ECmwcw4dz
IHCtDB2sryrvo40Sj+WqLz1t08W2tupJid+osV19nrqgZTrojPa0Mup29Jej7kzDKmmxs6BN8BTM
Fmah4L4rJvvYjnUAF03P7dvQtmeoiCiwtwCK2GhQvZrb2Eig8NpmkZwGZuH6phT879Gv8/upN51o
UUAojdjBBbnYYbU11NV/Je7rinmuLv/5Fr1lxZJ+/ftNOv/UHzcplSz6tBnpQedscj+8KXLJp2E6
IG0d1z38U0rjP1bMEkQJICv2zJppsH5+V+QiaaG4Ndm1zOPFf0UbMV9XyH/dpUio0MgLx2R4QNId
Vv8PSxaAckkRYx076QaulbUl4b1RErdPFZjTziR+RU29eKt4RGpHmvPZazrE5FVQLi1LfANjeSvS
3lnwHFoCBVR5M4XfWkXd1V15FSssmiuLKxbN5ZJgl2YdG9pjLwA/1Gj3DmlZ7jBDEl8dngz65DRw
jjXbY62qHSZjUel2jCkRqcptFkarqVeWwmiWTW/TIirTObZbz0Uaf6MbzYMTCgw7cXbh1tSYkiqf
lAAknteRFVGGOLk8+4DQPgnHx96fFYlWdFNXkbqoEHezwz2kKobyaMo2Ixato1qYMyjZRBVOrqdV
XHdZe5C1971w+kOo248gCOKLCcAErrJ37FGIYsqk0q2sVc2D8WvFwGLRE14y1dXnUFe/+yAM5916
CVEguRuE8p1QB04kcTDDyuOY+DwIOQdPjY/EYXyto7xed14crvoR21Sgl9Yms7ydR5bJopLp3Vh4
p7rtH5HcQdgV+tUgy01jIt926B9YjYBShjxVetYp1mEpWf20bXtNdcfJ+RzZzpoxD9q8YKM2snNr
GV0yLJXQFnG31dNVX0t11XvFfRhYWP90+HulE38u65FJdNzcW1N/6O2SvPU6fclldSRvyb9iW3Pt
YDNfZg1R0zU8KYZN29pzqkVd+p/0pOKpFhAwKhoHMmZbrHhkfc98cet746aN+2GV5syYc10jiEt5
HsziMNmw5KPmC//fNstBsZudpDrWQ0raqDljAUuunCH9RNmsIV92RLq0eektA8ML4F3WL6lWbiNR
beyuDNymrfw1vxHWd7kqcnoMNe66RafUt6BpNpEVP5ijtsESh8tAWodXQ3aT5+Yyy1J2gMG4hrq1
NhvQZVjKVmMg6BOYArrxVB2Rn9dEu3kEw47GRvfzQ8wUKiFCfhE71cWM+30UgCUOKkZCRJiqpndo
JiAB6ODF+ERqUPUFwzUjYt9J5cLOM3GjF5h2eHuClLiohVPeIJEgV1YDO8yqC40XpJZW915YBjx7
FhFNARC3TC3FXmTDZ6ye35q4LRdFjjLKdzZKEF+0ItmRKAf6waY0HQSGX9EtETQQT2Q115qRmJxc
sSqFwIcwRNu8GcxVwEwaX52Y3IhgIrcI02WTD2vDHunPdDRkw6P05Ep1xju+6GAhI8wxoXKVlcEG
/iTRelijqf/9KFk6bMCiFDC2zNjvSayT5gTLofmilRWwA96KOsaZLpWIJsIIjmYZY+PXyT0Rm96h
rC9SvpDPDeKEcWiB2PVul7a7UCG0iNHeckxrROzOfYoPaFFXwVU3z9aYc2HRTu2WlR0p5aV6bTTO
U92jG2MDMQ44amMTX2kxHs022vWVQeKGrlYHve/5bmebPg1+XT21VXeKBrmsI/OTGvoo3scK7I6w
WY5lKzPmLlRh5wPbdGbR4a3Ves+lTaMKQHLXOD4Rt6Lb0sEPrlJaW9PA/apO3SFg+xuF1gxA7dzA
bI+9yA54yvGxEIlt+vKB5p5pqty2MytoVDeOaM+h3X1R9WLnmcMas4VYxRH5msGQMbiw8xujZWsZ
TtXJVDEo+dE24QEIV/DasydUxzMOrpkZGnvWPyDvsGEOWCqnSV9TcKwMRdvlKGvAJ7EFnnoDd2dz
ULNpjlnCgEF6X1mo3xIPnlKjt49GCB6t1y1jpwn/TMTJovD9izbJK0eC0Z8mJaTz7Pcq1EyR93gl
Cz9a4UF2doZvtRsnGM608+xjx7PuyBdDn9ZZWixru1nVlWTKGJaZ2yO9G5vi3Ah5N4QtaVAWSOAh
tfBsRHpyHxveuPSL7iWq20MwqJ+TNiOvJ78KnLpbYPWAFaEv9bB6sfxx1bZacR0MAzam6S7WdMKc
uvgzT+BVDbKjUjyCGFTnQbGrL0MJRzYNmOC2qXAxGLuNFhx0sh6CYR6O+AeToa/rmePOK5mZLjSS
R+euvo4/dwmKo6WmZOBop6Z35SBXiYpY0KJTLvp0YngffIfTTv5Llw/LutK+OtN00lgjrigXGN4S
yDFUjIo9o3wRTUfb2cTHJkTc2I5DhtYx/JJH+jlP9RszhkrX5SaVX/1kSX3ZqM4ePuKptglj1nl+
VUJrmYBkd8OofMafTV479q8+M5ZYzvBFj/2J4nVyzUneThlNatJG7aVqWK1ZiYi2Zqbi4/c6Blup
ZnTB76HHT8P/9p/zH+iE9L/P4OhEEH+gRsGWyDjkfRNRl7gIR8dwTtpturgHSHmGV79IXefrpxsU
tvtwlbvNNryyNv0y2ObrYA8HFoTi5r8C97XA1fhA/7nAvfoaP/+9vJ1/5l15qwKx0yQ1rmqgUPyz
BzV+oyfVsV6yn0Iq/Ub97QCPQvcl+D6JRUYz9FcPKn+zWY7RMMJvNXDNO/+mB/1B7jJCTea3bOjo
uZG6fHAIoHum2ykzCqAuYR7mp6V3OwxxVm5tPYw3vTmjhgXZGCX2KYIHkp1Z4cuzWsXaxh5WwhQQ
8bHvVVTUUULK7tCiWjDn0ZjBjEzOw7J+HpvFfrZX5kGamEdqQ6Ku7dRHrAzzx5nks8X7Eu884CmA
lszkbKZz2dAfGDyuFUlJTcvb3jRdvdO7wX5MBgdtRRQ4qx72QKLm2wk/Wa/7N6UGxli1x2lZ65jf
srTaNpN27dTOMxyqS2jIE2nOO+bZt6CMNkpe3yu+LA6ZxxwrIBgxMMOd5vT3SeO7UgluU92680NJ
Eq3EJmrGRsHmyH9gOL0zZLGKVO8BZMrXNiBRdeyIT42bricLMeTvbIoFDU7nVhXYApE7h9JA/hBX
Osi85LpkeA6XwT+Wqfm1CpoT09eXhg8aTgqZ03nP+Mor9qmIhZvmzdZyJDojcuA1XSycidTYGM6A
KAzkKWLcT55yL6vgMvYmMZNNtGt9NAmlqKeVMxIPLGecjebBBevzLdu6BzQeG3ZSpMcb1bT2x4R8
wiJ4Iha2csdCs5aoQTbED+0T9PGbVOrXWWHqy75JguUsUyq8wFwZ1Utrj+rWjm1nhfAbMb1lL5nH
vCgDIhYszqcyobaaQuxunSg/SV5QV4qTbIkMuiR+vXW6qqNgzd2oKYRr+YB7B9UfH1FU7aVvfhds
8pDAREh78+nBrAoeYebjoE6XEsdYV2kPfQHipWoQjqYmOKU+JsoD7WQqxm1cDw5AFK1mOtI/M0AF
D6NZvIkKfx3p7RNsWnaMlrEWXfw00p4yTqzmAJnQrr91eGuu2NUyIU9nGF+DjzpZ9jOij/OHbTXO
3D7Sb2H4dcAo2UFIAeUq5Wmw5GGNOxKFS7KI5098QpexCD3y0hhprR0F8d7CixWywIsg2I6depq4
GS6jjMQmVmR/KZjQkrmt7w0jMihsnIVR8jNTWCinyEfDJgY1XxFjjabLKo0Y9csIW9AIhx1WUWth
MZHdSzlMzJKsfgWSpWH8DLVK7bp1D7dFqv6J7hKnm64dDSKwmSE7F/Ca/rJOouvSptLStS+svMfb
SlPiB1C7iMNKkkEMVPiaVxUr2XBBVrYRQ79AZseLnWUCrZTBAhspnOS60R260oz0R61vu2v0HkQz
5iRvKeMx1uETOZhcW+wPizbB/UnP8q1qZ4Y6er6OhOjMbg1KRrlXkJrvkeTJZV5E2gwnqR51ZmUL
mHH9qvU7KssQcXAWCMg1MHXXSpEAPWMd8VRq+n2Upt6a7IR+1Ve93GQTqus4TqxNntIe1kqkMocq
c1Q88/fr2eliovUoaUGSvr8O556kJxYWxPAl6DlrRuDkr+cHjTYmnPuZ/LWzocWZFQ/uMHc9hmz5
hqgjoM2sge2N65QWKbBC8iRmfQ3or4Oc+6ieFIOQxgrgyaal0ZrmjitJkEgGSH0ymrF67srGluUa
sKCNVxRbm8YNZc0sPaeXI1SIG5buTj9KWr30tecLunM2d4G5SbxNOneGPtBp1vVfRlrGntYRfc3z
MPeSCU1lM3eXvjZsBOSq/yqE3yuEn6qMD2Hm1z8oEd7KjJ3f5gEY42jNBqE2G7D+LBFUNraWajMh
4zU9lwF/DMBs8lv4RyCVkfbrKPrPKfWsn2FwLagsLIG77F8NwATzt3fyGZL7Zi26Cr8Z4wYJeu8L
TM0zGjY2wroOJsWo7qAsJvD9szHVlkGgsHaVUGLDYy1j476AGAEVt08uqmK4Dgi3FPTU0IRug0kD
qoy0a/LQ8womuOjIH0MCy0y5rr19j8add1SST/ElhyNJqX9DVtUjzz9WVoZxzfVaLs0M+CQ7JUCA
ZfAtF7T1+oyoxEYXLEZVcQfolaAdYnIS4nHZQ7YMNO8eyQesy1yNwHglrwzMmOhyN53BmB3YdyCZ
AX+q7eYtdO2jqYz2diQRLTRDjyixpF+pDRnNXtYV33Qi4v0OwHdjp56rFdkaRnrvIlvelpGypfPi
CVhl31SyEJC9eMYS6NJd6CtP+rHIxmNukqdmCD6eZMJ4nniftFJe0lzlJd1toumiNfZd39VfbCje
JsA15/jfjfh6I+oU0P9cqh+fs+/5U/hDzT8/+KZeZ/aIcQn5/jw/fluvm7+przgWsMyqCbLzz7vx
Ff+CGgOh2eu9+D7KUlh/AWP+xb4I88e7W1EyirawI7D55Y5nJj2vut7qLQQVqUx1XzlpkNXbJiR2
2ZyevT5gnmPhgWkZdVlatK5eh18whqsbZ56I6aJTmI6JeVLmvw7NHN5Zy7bWqi/e61DNUmSDXMlL
F/r88osARS9qXU4bv8YIX5uOuQHHN5uUeHFyPw+rrlCcdcVbNWM6/uSXvGhLfSjW+fzy7Zl0L7r5
hdzk/F5jfkm3sV49Fq8v7vkVPuGE3veZ2EcRTJWe9zzYbp2JgbJpdZCsg46adS4Kkrk8SKgTJPXC
OBcOqbBWgWN213IuKtIq8lfOXGhUI1XuOBcfVTwgjpjnYiM0BukzrNDnYmUy+iXa9vocwWpbEFmW
PHRzcaNpqJ9huhI6cM16OVgCoL6wr2WNTmWEcAAiTB+eyEV5qkOwZXL0F2YDqlPOhZWYS6wGZ+c+
ey275gIMQbG6ql+rMjT//ULOpVpXSDj3c/kGqYWMHCo6xi2G24DfKudiL2aicZnmApCsofgyUBPm
c3HozGUiWVL8UDxN4VpRMJmBPSCTEaAWtWU1V5nTa8E5DCYzt9cyNAp4qi149nm3kHuLTfcKn+bC
znZZ1XWbtKZA9GxFHkMTOeKicTwysPnh7KiVrXfR2uAhCeB1BJn91a9Sa9HjQV2BLXqItcYnprB4
UZmku43iXyWzcl5G4ylR4xzwTfoSTNayNHyGUFTlbkrIMfkGknFMhl9B6exd1TGA1S3i+rpovA0i
airW/xsz4D+cSrraYLVI6cd5dRm2vBGseXrm4czqet08dlah7EeC3DUiZoyz9QowqtRxFo/g3nD1
GikfOpvmioeoumy50E5dDl6lKq3yYJskWCh5vslZjYLwmNoNUtHHpBMMgQbiCmlf9v0ALg7PnYZE
2ZOwi9O1kjrfdaWGJZ9e8ra98xTjWBdCbxe6UlwD+x13+ryDJL1gq1hkkKYEKXxSCfBcSfncKMMh
TMSBzvBqDHKiGaJgUw7jyoajxjkTNpVdWWggpk45kDR9lQawCMPW8o6ZRNud2oWxbgP/luATH+5S
squibhuXfEkyEPuihzmvRMJb6LH86rc9d6AdnoYuZ2CZsWFQmi7FlAt30U52hFmvZFV9TSvMfDlT
51y+2ALJdZOuKzbFsDpctavJdtbVm4LgooDsP4F8FaozEFwQ81iI2NgMyZ1MWJCZ7R2jVclF6uT2
yXPwO3pyeilK7caa2t2cq2Wk6cpGd49QdIDUGjMm774GtrGxq25VI+xi6yTPdZzdyFz/7uCFAH9s
PDfOeGMqcO8wDh7HknjSmNwtvuM0wlxkIhnySUPqgE0ugPU/TeP4CTERnvI42lVtcJ7y4ZQiGaHZ
ZjuUb0WauzxIY5Cg6gUAKty30dWncZd57RIVDDlwygYwzBb1nZsWEJXqYa1Y6sCTKHyy5cyzLrYK
bV8coBsp8lPGBmKVqfmGZQ6RTa1/1hu6kM7fDrgu0ly56siwGpPwa9nqKOkHHArpi04+jYe7BPsZ
+poEd8Rz7rU3MPy4IlVoslCHehjJpVjWE3JWk2M0lWt64O1gVdSNvTY7a2n5A1YE51MSMbCF6ke9
36ub1Kxcx0OCBctmwWxqLZ30ZSzDa55wa5IP3BqirS3pj/062BnauAUWca9qDXRKeWvbxb0M6huf
ONE2/Z6NxXOpwipJBm0hjHCN0X1dM0Am+3IFTxyeD8m4eNjzzrjRvfRFUzCVVepCxcZfqOpWcbqt
rJW1GiS3Edi7xtLuKv6mArzLwrYKTGcoYdV2za14XTtyrRn1ngk1ByxXkLEHd8jqJY6RDI21/gRn
/J4/yoQ+bSzH2sTuE7FzJSLYRbP9tc5qN5PKAff8blIELht0YV0Vw0DhJREUXgnVcERDZIuN3kDw
a7PHhtnNWIidEIBtAmYoeVNtM+RTJJXlRBY7G7TQ932lfsmr6CZXtM28TAg9FIRkrPhZsxWNxdUp
qCm7CyqKQzEx8lDwVIRiKwfv5M3JEma6R4t4ZAwtUQAC2WGIj7keHmnPgFtiGHGuaK8fClxlI8JG
lwn/nVfZl7qqT1lt3TCJUBdop29by1p2BU6Rappn1MlVYuEJlqVKAKB/rOYH1ZTfj3Fz0CsLAi10
LCbqEUKlup87kOxAVNhdVYx7Tc8Pig5yEQinRxxumNzWtTm4k97sKxXTByYmGJu8eKLvODfuoiYV
Ox38EqvE5gGT5EKnrI1yJlKh9t1OlUXWlPdxFeyg1Jx43oYrtYo3Gitta4K6rkFVdSdVewisulg7
RvwprRok7UO8YQF+jmJS8mIQDqTDGGtGdVsvtlmYKOkqnHK3qytXsEZwtVGf8y5I/MjOg29vIm/Y
D7j4CqVYKWAvGzT6c+3PHcBeKeoEWwx/VQVK5kJ8ZlDXki7JS4Jh4rZT5Peus9aIwjfYBdaQp1ZZ
Dq6ORhqh6jCxFMsOY+Mfqsb6lFsMc6qGRAsgdA3SNsiYyp5wYq71hPuUmYiW7xKlOU5K/1BXxVMr
q5Ufsbb3kgGnM8BT1uli/6ak/cE6gIbwTbP2e4VoaDqx6vgtHMf6IClq+qqq2jBTTmq6Ddnq5fEN
u8zf9Wb/uHOgzv3BQWxNUw3GLqQMvy9DgQeT7GdqymmQ36p+07cPQ84cYpky8fn56fyo4DVQcP1x
pPlv8oaWk3v5qCEVVk66vA5MtmQCs/m0y+3PUfsY5rb788P98NPjbiIVjF4cWdb7w+kyR1KY5P65
Ux6b9lASuZ48/fwQPzojqmWKZQ5j0FG/P4SHP4ndbxGcweRF/aYdx1UC+jP1NyEbK735BW/qB2eE
eJymBYkbQzz7Q8fQAQLXR7UJz0wpFqFREhm/KeJfnBPziY/Xw7uDzL/+5luqPaWxbI+DRBVSh+oq
coLlzz+1X53G/OtvjtA1U9NVTE3PVXG0UaDG+SdPhL84yPtBx+u98+40Pnw1RcyYo0vr8DwohN1Y
RBgS+lzzgHsgttuuT3pb/+KIPzot1gTz1g4KqW0gQnx7WnEo0zCLtPAsykup+i6KA+G9/PuPDveM
bWI51yGCffjoPMtQbNlVERqQgFw9BrG52yd3Pz/Ijz46YEUOnCkNK4Dz4SBsqIUIQ1iCVfGQ2YTs
wtblYeCQ5d0eTKDIvXf5+RHna+q9KotjvTnihy8rAIBTFdoYndUBqXf9hS3aLx4G89LuzSFwVmA+
EzPhxGESwP364eGDRjiIg0FLz9FVtQMc6bZHNiUr6xLcWC5QzTWQvPXPz+r9IX+/BN+e1YdDYkBL
h4Yw0nNn1zjymb6jTdTz7c+P8uPPDr2NypvTsmfHydvLzp40WzSpGp1Zvru6dphV9T8/wvzpf/x2
TG2+2hzHEajx3h+hYCCojQzUz4LWd5Q61eZjaELXjqJfnMuPPrG3R/rwgKMjzitN2NFZw6MqL5Z3
W06/eLz9+BBMXzVHcCeJD5daqMWdNCc/PmfZycKzMpCbjvf3F6+6H91CXGx/HuXDVx9XXdCMPkcJ
46cEir2hrCqMsdj/4+asxJvE+sV39LfT0vEOCVK3mTijETA/lAoYxATZX3lybrpNWT32NvHPNz+/
DP52oX04BLO0txdaBk8VSHiZnLHoLjQFFW9k/eJj+/EhDMldQ8HDnO39IaJhILuWTutcJ0/KtLP7
/4/R/sdi52+XMueAExXB9+ypAt7x/gA8OkWvZVN6ps5LW8sNol1IjFvmPL9+Vv+Z4DSu5H+eyl7l
9f/8XzBUyXP9gyUJP/rHXHbW8iOgQG6gMxzn0v1rSQKJikc0VRtXE5g2jafNH1sS8zdQ2gCq0AGj
cJjFEn9uSfRXmT+5XjzgBY/6f8VieX8zzWoM0m5meQfGGR6q6vzrbwqUSKLA7TMnum7T1WSJhRds
zPLLmw/m/Pvj83+wfJ1zSG31//lfgED5U/56rP5+FCh9Fish9Mjws94fpfSQX1iTFV03eRQmwCRU
WEBONYJPMvR4FRn0RTk77CsxQ5zaGeeUTN6hQ2Zwg6T0koRyo1tBeNWrKhoJDRyUJltgv1qouiqs
qJ6g3bYLjuEMVWq1K3XqL/WoH0sYUwPTMxwKezVCf5zOGCrYJc5azDwNr4XSH0Kr0gYwx/YMsIoa
lNEE1r2EM9yKBHs4V9Ur88rj59H2kghDjpe975Up3Xj9wNhNqYlzdHRMxu2Uk3bQZLAHdfOzZzhi
IxLLeNRTYsQUYJebUI0DexW0ZQEyZsTxluca5FhJ3tXWd4it2WkGWQRskOW1PdYjK02Sd4iOkEGw
aIzCkJ8nvbRhhuvJplIm29poeQ9lF9cTz5rSba20Gb2FOljKSZa6cuTPR2EXIiSe0cM52cCSreoS
hXVFGhC2DVJ58cQlZrxvsfvKM8erjUd0mqI+6GPe5fiKjZtcVNZwDjQeIqU/OvAebLEHT+0/AMoy
v3TY0kjbGEHdNVlr7ghEtsBw6bM0WQYd6g21r527PJfko+GBWBHbZS71YmAygzbYLX1/3HW61V07
bStWDZ/5FUyX+muNoGYYySkYB6bQThnuFExsK3wzLNOSrr+BNb6P1JF44VxzbrBA40eMCMOSo4Nt
vkixpsfmssuhY5XhF5Sx3RVfXbe0y3BaVaCCENywvx+SIdzbUxusMJIxF28Szc0cQmrroNOJAS7r
jW10295EgRoMen3x2Qkw3E+PYZYcicXJ1mkVXszc2smghQVkJ1vumHjpG+q5dvrbRhPdnd8N8gVA
OxqgeGn3g/2Sh+3SQtEae6X2SVXatW83axJ+45WjwL2QaI4Hpom1XXyv6+Y5C6vnkYx5dnbLyuj2
qKPXPEAAU04bc1CPo+xgvjRb6sOrCf44JLhvUH2Q6ijrpNeQvSAxb8cnAiEZ9T55aqstezsxNoPw
+UtY3YNlh9+SyTZXdk2sLioNht79dKWnOiJO/WgXLXuS+KHg66sbg929FHA3bIatKFfV6WHw6pWf
ejoMnXJhkMi10OpM3UVseJYa/jlLiDPneGO1ICmHcPLR5Hgk63RqeAxMlKOBp1+aJKuPfdkcfH3g
Yp6pKeWgLmJPcJWl48HhJlJzQaFZLQeyvGRhXJlD/gXtpRtb4rbV/UtWFlcwChC4O1dp210CB0WQ
jizdQ+To+3j2xlhbRFj03LbCKOhX6nWsxI9MlB8xK+7DOj7kidzDQ7pMvbZMiCHKk+RInrVbJuV4
mITYFkqIXoRQrTIW29axltT34QK96WJECCtzZrPllGV7YuG+p6Mn4NJkzMd8sDDWYMSb0ik2Xg3y
exqV8hdl+Q8YqUwDVF7+ZD9AFOXf75+8wail9WgnZIyUsb7qEmcExj3Gy5TAtqsmZa0kOjKy8iCF
GTs9a0VZX8oyVj/JSSaLfBhu2pmcNHjL2BFf1KHZlIH9ksURC4oC8rwfkROHimqdT/OM2QvJYrJq
HIaSeLYSkoSQzZYgm2+E+7UuYdufdbitKwjYhquxb8H56PalWw87rYhRIXkZs8pqo5vdOdHzTZ2K
72OS3hKEsG8JeZrqZM8Y+koUOUYG3dk0/UhuyRhu9YHOt+5oeD0CUAIz2vi8l5a1Wt+YY6u5RWDv
1QAIC+ECKqEITN6jariLws4ErofMSx/1kxky9yxtyIlDGB+7YroO6mgX99bGYmSIhr7cea/uXAku
Cvn6GuTAyvKLq4QpPlmn+KmT/pC0KWWwjuG2AOySj/U6j6oTsu0bcNdIjfB6Lu1MgS1W4KqpqnNo
oMBOJ4SBVRXdmaMJKHUIvzqE5oWYupFSFa5E6BbH5ZwnhjeMhZKpPaCxX6YGWC/H3PY8h4w6/547
4kot1Q6HuvLd0+xpUehknbdsyeIk1XZKMT/LmqtQ2Pe6mmDkHYmcQyI1prrmRphcV2bgn4wJyiSZ
xHNcZCS3RJK1n3PDwB8TltUxITRz9/Mi4X09/FoiAGNBF8LqGgr+x6Y1mqoefkhKtFcbLo1oX7GX
+vkRPjQqM5nQ0tCLMrCYFSgfl9CGDRJYYsG/TmxWTfYpbENAizewALgSEje0y7UTrX5+TKSv70qf
Vx7iu6PO5/2mwGqLuClMQ1GOcNZuoRkjSuW/8Fa8901qD+YBkdtI64vtGbv/x96ZLMdtrOv2VW7c
ORzom8GdFKpvWGxEUuIEQUoUEn2faJ7+rpRsb0v23g7PPTlx4vjIpqQqIPP/v28tOaAxlRPWsryE
EKWbCVzOdvlYad456W09xD1B32Q03nxhe2tuwo+uX4zrOJtPXm5/Aic1HY2cjhefprLaDItXbvxa
a9ZGDRnfK+f5MEye9VaVab8lrGptkiT5nPNZ3TS6K9Y8ged1D9QxlEPwMNj5QqAveyShZh6KGL3K
3H8h/LXnpfSha9ut241c9510b+lCI1DKCSUfS2pWy6CHDX65dTuyZ/OS6d4UJXwnig8sVt0VtqMT
H/qvTccKs6uTQ2tre+KfH6YFTYOeHZ2+IhipdMVJZME66RM0agOF8CWlr4HCdY7MtZUz4beijKes
/izZn+KmLi6+mHZlO25ktPAJxhDfx1Ss4JZUKa2bekn9dZtHl1qRmxyPHjohePClD8KlxDVRLht6
it6W1evh4vU7jSrMyhiqVzduwDUUdw2FVVAl/aozjuxLmOI41t4jRLiuoTSUs9hPEWJC2Q43tcs7
EpXqoW3td9YbwPfYnTSOvYtr++yN+d9cjb8Jdv5z0P7zp00dxP/waQNi5Ulz4dOWnsvb+EbbNqfm
adwtB2fvnn1ePeFnc1wRRryUL+PfJfp/GhH/+gUj0kQazFRT/B//4zRW/TLzbe1Sr51VeTbDesvU
wThpz95W3+iPVy08P8sNpT35yv/Ib+azvjom2+hGNXH+5qf58WLz/U/CIvXCnN/lGvXzQmHWR7Ks
RipuhH5bW/kq0Z9b+TcznB+fWX/+b/w0Jljagl6/yAUv1/e43Qfz38wK//L3wKyQrJxtIUT46W+z
mNyF6AR7z0q7bdiBtw5nzu9PqH+v7wYfz/9+fb+8fnlvX//i5s6v+v3mHqjYFJB5wyS1RIzxPzd3
U/8F9jx3d25skJjUNuS3m7v3C2vWwOdvTA13vuWwCLH24v/9X8v9xVPNB59fYH3HS/+DVJXtqo/X
f77siqLKYAcJFp1hFBPQqX/8vgGkmTuzN2ICCwXXWaiafQcqPUc7afX5c53REJv6YL0gpvTANO3K
IubVPex11JW2cliOAXMha4R47+WnCez9aglSVE9Sp8ik3annNUEo9Cp+kT/pypMZJUGwsYkTGUOd
8qoYbvohDqUhP7lINg2IeY7J+yuJxYsb5GuNy8MTr3J9X3J6i4sxCr3IAUHYG9V2QORZsZTDg2d+
Qotcrhtl++yU93PUXDbkffRVjt07dX88eywkNn6VQtBBHFpl4g6L6uuCUFQjEsAZDscoy81lkwH4
cFz8owOeP7aoAhqjV735SEoFstKC1OqqHfktDspk2tXGrYbaNGXxXKE6TQE779LW0bkxm7fwZG71
0ppWSZL3IFH7Kcw5Xexo5FMr7cbPSDsBihlDssqEn28X2o3rXE8/kJm4JaSJM1OH/t9Z0AERVT10
6FqLwrgDrtkC9kSBrKF0FahdRT/BisV+7I0Cp1kvD7FRqzAOWWwClcAhBwegadJBrBT68ogvnJJj
5YDE7b2U+kNvHVkMptsgm75oyj4bS0HOrtTJxCs3rTX62qZGV+s2IE9svyaSHUV3s3LaChRWW+JH
eG7zglSFct+WyoJbuRoxI8omicchtnmZwRbsuthCT1ALLqcxy6wara6n/Lo20ltMuxG+3gavk4eF
l3Px5z4QaH+VoReWWrHJlbV3Qt8LBfPgxizGkqxG8hjjzwECt00TmDHUJTdJZPQbtQg8mmZzz8WP
wi8VmnWqvMH+QLBXVy7h1gQ5Gw/L56HVLTyiA/Ac5R5OlYUYjI7HPhkz8TL7F0oWwdqf3Pe2lviQ
AuOmHCm/A/hJMbil0zqWCabcmLmUobkPJSJkqYzICXeoFcm0fN93E+mTeHzQlEE54tbHQrtcjQUZ
YXpCdCeUcblBvRwpBzN4GXuvFc6nIDXfuO3sPOVrNqfuokEj5s8ZxK2N1HkRzdsckDXzRo/ETNkF
7h19md4+Qvg26Gzy4U02Uwv70hpRW4vniTTklqhUxfBkAGYOrWa2IGd6Y/FpVCxN4pHGKlJ8TbBs
T2QMsN0r9uaUaEQCoXFWistJl/WZ5TG7cJCdjIjohCiKp0FU4kRhtFk1ivGJB/PDAvSzdevzoCig
Q1V+TcCCmpY4lKZ/kj6+B7ChC/hQk4uz0MRFV1zRak4JHOaMg4rWvtcrV64NxSGlO3vyFZmUy+AB
lxms0owfPIj3HRBTHZipC9QUYIB6NNmbKirmY6XNr6Y65DUGSM9m6sEkz9I9JksP1zSeoiFMvb5/
Bocrq+0kahuQsNZWD9Y4dE9cZUcmEyZmTlfvZLunyuq8xFnlHPuuzuPbPM5j/9A3mv0Sxa4ZXVKS
ErsiyPo1XP5ng8nExplMPhpRnIP6talIVnhDx5SSxMjnbuPUXPr5FH4a7GG/oAahHuruBSQmbBSU
F8YkRr9dRXc+tc+ppD+PN2cJqa7d5m7MMRvlyqaoEx5PGWnFIU6/xq1317qUxAD+b2dYKXvsgnno
1d49Mx7mCfKpcQjg8S3e+RH8kWCgmKwvt4GdnIZsdsK61l9pk4OuLUcgkMW9MRp52PdRt29AO/NZ
i65zppvh3GNR1PDurMp4NLJDqWS2nVW+epXEUGCS+/Aw3iZZ+mZiwK3SCU6wuS0b5AILjlyYTnwP
lTbXw5+rT+eSuWGR7X2KR+Wy47a106R/jZV6V+LgdXHx4iviQm1B3sbSa3BgWxlK3JvLho5QMT4U
SuorlN63VaLfUil/UaYXq9RMoLNAcJnxAltSN8JirMaV6Tb3SeoALmu9c1Q3t5XSCkOfZNpM46oR
5o0tABk7McLttsX8h5U4c+mzYinW8MOGle4+p778nI6IjMkHnkalNuZORuJoeXYaf4U/9To7SJBN
bMi10iIPab1NApWD8pG/w9LCrhyHrlbR26VJWAJNDB1u2eVMwIbRFHhnCN1YmF0JnmlUYmbL70+p
UjVTmQNlPU/bFouzrXTOQ0IOJsHwjBCT5zNdvUwCHNCSBwKDZPKIMzX83/r5LFFFZxZ/1brfbFpl
kfbQSRdG/J4Gwd5BM11p/NMI8XQvUdAioi7Mf/u0/5d+qeXo6q71v86T2C7/4jjJL/rtOPm/eTHf
OK8ua2e2z8qu9ttxEvKhqVOztVnkqz0Nh8DfjpPeL6w/AxKWFhMNIIvGPynUUhX4+ThJOp9kKxEi
9VPwL/zxOEl430Hbri9XqxBPjcV5J2dUgbG4YX6wFFu/ccnBVQdnhrw+BU+g5WnkDXhDisD9kPr2
xar6A0yGTSP9qFt7XkGNMGG6+phXAVBaU7+LtZJIAg/CYA2XT3sz6W7BFjNUv9z71jV3vtXOVQG9
U1X0QpXSdVVPrwb3YVSFdV/O18CBWDupLrsAR97Qbp9puePde7Q4Eq10VYDXW84XNOJF4h8NvKUz
Tfl2gZWiqvNxSjCYLj2PhSdTdpTre75ZEX17WbeIV6Py66yq+IJOfqTK+aaq6TvmdO3p7Tc5hwXn
W5WfTn+jyv29zgg7oPMf60QVOckBnYchDPBQgxYwTpUW0mA8GYN3teAJDHAFlkGR8oRHAxPkgGHK
UyvrZ6FYBLZHcD+37rKq2/QObsQEQmoLv6Bvx61UQAMjGnlXVF9N3WDUkNwHgzqRWsW5jouDUcxP
GWwErZJf9ZYjqa7NXmha4CWWhHqepmU9WMVs33RITyzhhqi6zXVkMqFwuMZfzbmew4XtFOFJkuCi
GsM+aFNGKCxdClQLGz/LFqQxROBJHnwWM2g7gri7Pkr1VUcKvfRNnljWfhjaa5QDErSYLYEEbht2
0C74xx3pci4UTl4cLJLBXedc+gkgvVWZZihKubUJdGZ4DiEsait74OBXTq+xW5F95V0EW4dhPCLS
UdDWEJb2qre4V1rZ82wFFGhQm0bd5V9Yu1LB0Lthaw7CPeejhVu0bB9Ex2oHvCc1SDiVlEyCdL20
w15gXEAQCgJeJep9Tus7ZrX9lniqezOwiPQ0+wB974kF7V4fzKdR9mBPRKev+840mGWY6bkmgMkE
FjaYcHDjQSoiWDqlNjoJLdrN5AZv6sky71Dhcj7N5C6wa+Zf8bHIgKRPjfnKWMOhcDsnV1IqY0iC
aTv7xXboSbPjDspDZyzfZiLupkw+VrG2SoBFbGLB32eaz/mVaNAqmYrdHx5qf7HK/WkioZhSPG1g
yBHLU7C5n66ctTXJLNcC45oXj5n9hRjv3w6C/+I/QfSG4iBNJUNnefHjY2iu46nDVWRfs+5tyG7n
+kMZnL/9Lv6deajp8/9+RyGY+Iuph/p1v72mjOAXS4ffAL2McicM8h+mHrgYre+4MxJY/3lLeb9Q
LDMMCmM2mU2VSfjDW4pRB6809v627alRyT8YehAJ/vktxdiNSSNTGYvsBJ+QHz8eaatlpreY4lro
lJxh2vbOy2Towj84bVnGtxUn5eMyNO6LK+yRoZxW0uwfJ8LMNEO6JwBW1UMQJA6gI2sYq61Vev1z
Zw0G9weGEBtXUJqyE+1pMnn4TPFih7lpZqE5ubc+xOohNq6DREeZz69jvLyakJP4pt27nV9s4Fzv
zLxIeIBybzcydzNJTOBae2S6jMmvow7FQrYLY31+zZqWcfhI0oxlZcc4GeoPvM8cXK2/hQg6rbQS
8YwzBAc7JqEqMUPVhXtPceK+SFxjnVlsx6LpBotGvA4k76Wyeagt80X4qYV9hncFqpMBeNmy7Pwk
KEJ2+WzIbOc+db2z9LuPZoFI0C3zM8Lj0yDQUTSR6a/tDuiM3cYQAUYoOPWS3cumBiO81BerlZQK
Sg7rrQIztOjCsSeoLn8ONqG3WOhPZZyfIezReK0/Qj4EQWbo9XrQ23eQaTMJ+SkHZjrs8y7dUcTa
G9yy8GqkXGSC0LYBgTNE23KEhXeQ8mcAahFIKZW3fVLyv9lyojcQVE+lyL5wnL7zoZL5df7ZyMQH
t4LX1vepfY5AqlFau0tqBkTS8UQI9yNaxcDHY1VkrXL7XrjuB7tF1MEu4AtIrtNC1KGefVbNus/N
pfRogcgqXVXxdCppLvb6CPShKnd5orFBtocFSBDUoaYEvNax2SPKteXGtXHr/qF08HZpkNZWQve3
duPJm0ENc7y5o7fY2oc+c4snIgnTus2Gu0XyLnMscVNS4Vk1GjqJdB4e2zl9i+TIDF+0w8pBpuO1
/jMl0I9ehO+NAwkiIdaE6sfQ5b02w2KPlmsOX44h1jaIbvmwVje2HM55kN0us/uSuMwPSqTJ23ZK
GEJwzQXeNp96l4+d4aTnyqx4+bX84Jr/rGFGWvXOmIRGOkWh1ibbbMxunLq4WkF7sgP3VnbMMgg7
s3j0bMQ7zYtN2U845mPRI0dzKzpe0r3OyUh/0eVoErB2lg2Hx6j7QHHwzdWmS+sO71RwPnS9B2DK
PacyMw668Ogs5wGik4q/hygtvuQGpUZzielwTzkAgdK98punMjaKjw1M4ZWhF1czMm5ZtWwh271p
WhT6VQAsWMAZKCByKXUuVzOOnUVfPguX8TqvTRPpXpmfNHTHoKwxm0Twb0KvKF7HKMo2/ZzfGV30
MdeqGZYiK17qnPvAX8552V8Gg1rWYH8a3eKV0yRlJP6jIyKVOlnnUXAQdX/tcn1nW/beqjF4JlGO
08W1V1CByy2CtLVtKjOCAY/FEcdg6K1TYrTlXYeuHbKwNFSooJRgy6wFl0BDyiP1n4eizBkUFgZX
fzbs2ybXeyqS/PRxSVWwnmzzdpptIMCJcSP4YoX8nTvX0uNk4kjYrcxapuelATveGkZ+Sm3kQj1/
BJsx1/I94EIKDISLLOpWEQ0e6fZi32uWRsSXLAPVIx3mVRr9Wtf49zVtkX/776/ph9fy/xwrbu5/
daFUv/S3NzVLCAy7Bp9AE9K+p1bmv+MXDDhMLvdFj4TZ95f4Hy6U3Gd5v+ucroA0/XChhCL667/s
G7X0n7ypvT/dJ0mcBBRFCKRDifJ+zunSJCmo9M7tdaYyi2jNHIxGrMrSTw/uIMprYruXRHjixnWg
gpBju2vmLFgtsX5vRfZ91g7vlV5DXJrEgbLlSXjGlivXOeMDrMnlmJdQmkq4f6ZHxMee3mYiQDpf
4pU1FDcwWLdR7J07oW2rWbtjufvozeWzM/WhHzXv7FZoOvl86ctDhlBLaBpfBGEdHF88tTNPbVuH
N5rfDHOyBqdzM3myZ8swnV3a5U4L6TyJH50m4SVN5ytvx7cg6S9RAC2ltV6sON/Jvj+WkQvIEeet
3dxEQtwEMBUDjhSxqG8G+pZWxVJ5Mp/BbOyFAe1pnldaVl1TI2XrZ2zYw6+bblkLXYJB7W6FGC7x
OIey8tFmgGjJ3ZuWSBO+2a4NzE2RjqhNhuGI+eM1osHISfo5TeVB64K1dDr0RctOS9M1aZ+VW7cP
JAzhsU/JVe3CM4/LReo+Ol2xX+buvvD7t9KcbjS/vBFRc5YuKntIMhCD9kNDBTKuv3ppjc4MzxtP
OCu27z3BycenZNp7kA3tHBvLAGjSmFlFR9mrVdn3QY0+HKnpKuc2PGj9OTaL9RLLQ0v8pvO0+zQg
D6RHT3YxP0JwgojMMLsRGNYytHoi0hueyc0FGCGd9rGZ7nJ2GesqcV89Rmq7upl2fg0yMJ7qZ9Os
BaeY6Y13Membto31ZtPNwbhsos5v030alOJA3KBNr/ayQOhIbbe0dvR2gB3xolnLqTs4WqXvqobM
KTaS+6zq62NJ8zfsGnybBuDly+Qsci1ng/DGRNYyKGMu1NaS3puGuctMvUMYA8CuNDoF/aAOmyB0
LTmZhXC/aM3WqO56X0/DwRvtfSRLByri/JDYc7NmhYIj1EJQtgxU96q6QeUad49+25NvcAfSpzmX
SZ+c55J+HR2GkoFmYiuOPhO3JAhpXxfT2dptdgPfdFxnowyxwL4Dwb34af+sjfy6Szv03JRnewib
muOH5cbw/qs7s8I/B7RhXcuuhxnlGuEiVGmytt9iTIsrvVUcyK4Z1vAWbpJWXaan9Eugsf2nL1iE
UlJwzUz/Pa6Dl3I2H7lhvvPzc0yr9C6cZ0KEYDnjlSiIaQBeE7gCaMvL2kCR2q6ZqV6lKI5kXZ7s
af46eDowI/+IJQ0DnDZsWDc+JYu5CYq8uZmjsdkSbxM8cTT3UuXRAxAVOhxB1m1MIeFH2JzsCcd/
ZHbPn3JTfNEqH6jnNLb0cONym2bTIdLyXcrOMwwW+WlR8uq8n66J7r0xIXibbMk+fir43Hru3nLp
MnuIb2K/xRfdmFsOowtRF3MXVebHvsENx2MqbDrnkMRDR3s3+TjHFv9yzf6cRA1UWwozvPDftKFV
cVQSaJG+bsroGesQzrqg419AqMZmdmQNmhnaPUfBpa0/iNEq1npKH2/CAbiaougjuZiBMW/k8fmy
tk2mNasgGPmKJtkcVhVfS2gYHT+e9bXQzWknI4AOA4ilJMO4NxbNIUkWl59NHmu/u04FKyEiPWyB
LYzc+o3o5VOp68d+JOXHOADIgTannD2ncyb0B1wKJ6cUH4yZgTXAmXVJ1X/l26O1diftjKLCYMSd
PQKsc1ZJUXvr3Kux4QmRldt27GIRahWXKjyVOk5CKQ423DGRk9Qrdch3+sIwHVxGsiq7gk3PYB7Z
FN3VRQcHzJjyu6QiB/jvyOA7e4bX9n8/i1wIDH7+81hbscR/O4UwL1AmgIBxgRqSO/yjP5xCaD5Q
ezCJr3xHPf16CrENfpFHys8hkqqCeb/PC/gnzAsIQlqAm8iu/rOptkJR/piRsCHW4XgzEGZx6vnW
TPhDIKqpGpYoIhW3zQCfYd9kI0sWx7saZiK43MSaIvKDURrddjXUix6w9vfsaD0T8IKXrBdG/zC6
Rhx85Ruzb7XSil6JBqfgs8cy106oFmBAGSBAsBAQvIpvIbMmBSdxW9QyNAZz4im4OEuehHkXRGSF
2YtbRCZml5UsJ3zAubB+B28hhZg0Yu+xreRZkzoKzkzkft/ELSbQUn263WbM22vMQpVCrDWP3ib2
WaquMt9lZd4P2rvDGPD7zO/fY7jNlOq/f/Qfqvz1r5hL6lf99tlXnis2btQO6cJ+P0v//tnHc6WE
VZy+FYZMHbP/cwJX/6+O2vh8twv+/uG3/F/4wHs6UW3bpH5o/yNPB6qtnz/9RJEUao1PPgU9T/9p
XGv7Rdragzlf/T5ub710Lu4To8bklNvmcR4zUr9oMbZ+L/XLCHN+ha9OsKOUy5MXjP2D0Kt8tyxG
cnLZW288rYfox4cUU5B+k+cw/aVlRGfHgSxokdZZSZIA9npYekjhVT3tNT84TuZCAqYXXFYxevC2
08tdWo6RIoIyNKq76aUQIj5WjSAzTqJ6bZa6ylv4dTi381NgNqHIrdc5Krzj4Br+tmfIdyox+G6w
cYDXAP8TTnBcMmuoVkOSQepxGfoJvHeWawJU+uauAaLWm4B+0vd6Nkb7rsdy0yxLrE6wn4QS4IB8
DwmjHNNqCUIUxNnBXAI2H4w1b2Mj/qhj0kkGq93adXnnKMlOovfarlfinUUpeISAz53jXMSP2B2I
7CLqEcLeZXlpb6TS+LiG9FeJE6P2KbBpRZW8W1pA0nUO5wE07bLSHGcDRqKiRhvcpJaTAZflT0dT
CiEkRtAKErRCHZArUHSohhqcQ9wkXpoaCVGBrH6FDy3dGHF9FORweuV7FhttNNp1rmX6NnKNfWpr
q1lr43BygCn1GfiQZahfZRWnl6m337mBcPjQGVSRlvLXPOlCEv8PruXdFR78zmyadqbMn8x07IMz
3mTIRmZ+lY1xW5n+kx53XphbyaHW9B1+e8opjbOJONOtaFNBupF2fGHhA/qkLE6dZbw7jrIQuuOD
FHSdOhP2daYzDi0K/QrXfl8W1Q7s3jmdgksNIUbwYN0secz2KXJv5yjdLnFyLRZAoS4MoMBWYltn
vjiciMnBPdJJy9fLZJ/cCGTlMkQvhdm+WaPRkKbyP08eNCVnfmRUpE5Q2K6quiNOV5ItumkyB+Se
qcwZuDfbkJoFOg38XOeApA3fiiLJzobbcB4b5rw61gFgF89opzMxkuTw7znk2zlEhVv/x8P49TM0
J5RJfyEeVL/yDw9kndYkc49fAdQ/HEbwsajzyK9o6j8+kClg2pw20J/QmFUo6d927DyQ4V8z2yJH
jM8QPt4/mIlA4vvzA1k9jqnj6iwv/lTKtVJZdiCdxusEcTq0h6TesvpONzXA58Kb+i0gt85aTY4t
P41pceLhGOxc3fco0yRJGGH+WUelb0DDczcI0opVMaMTdPVEO+n98upE5kJ/rn/H3tGB6IJXVnP/
4cbgXqidQJmTVrOtJ9ncsOPbpNybegFWVueum3CjKnrzaLfG12yan0ZuXJ6dAUHmVmSY+yAhChak
nG0SdU1Lc4Nvkrq6TbrNQkMlj2zudalnP46u9pJJ7X1UFz8VPQ2ncSZYVBVfmoJ7XqZrN70uB8Jg
XB3HbERpErhvs7pWUt8wwlwNW6S6dA5z9STULZTbqFu1pIu+XVDVVTUGOBtf4uQAWuy+6dyLxZV2
yQvuBrcMnMa1xX23DNztMqXPBZGiiPswmtcPUl2Q9fTrHNs1pR7zzofAR6QQ+5/kVo1IFNCVumgP
uchJoebTqgmsZt1yHy/i3ln36oreqcu6lYt2o6sL/FKRN+PZzPI4SoON1rvd2ubGnwm7WxWatRsG
Lb13jNxcT8QeVulsM6dOCMM6FSS2Vg0SUCZIHLlGfVy09r4ibMgLkcHDoCYQupGsW4ubEPYKZz9E
wZw9lbHmxRezW4rntHOopuZwxvjjk0s4WS6GAAifG2ovX7uAWoKQV9GTbrAKBuyXPuq74KUFa/QF
P7qnYULHV5PYRrR1Ote4ejqquE7pImMTcWStFJLFgkzSxyrZglLk5Rq8ZCyZQ0epJ0clodRqdJTm
7H8IyvFgFcCb6HHu8gUhILPlR21AZjnoo7WZInQ8UqkuC7toVl5nltcODyYlCdDjmDEnMVdUMRIv
rElDhKkSaKJ87jYojGu0l/KtU5pNLzNlyHDvvTYE2CcbkHRCsFPzlZ+TdAp/9I4RekE/7Ful8TRb
N39o3Ia3VeWVHzKl+6yNRDBBRNWJCbTvXY03hHJecn6YXKDeQ6SlaltYMa+Yr7zyWIFYLV4EdQRx
EnNkbcKxZAa9fOxn/ZU3SNiI8YlZCukKdZip6IquYzuYV+ZkawdNC8YX2NrjqlyaaJ34fbmb6ir7
nFlOt8+HEep44x+zUUx7qQ5Tbc/QcN0uHNHIELV3ozp2idgi3iDnm871ApK7GvnRKuGbCQYdp6c/
rXuTEqXmI1rqjIyNljMtm3/fR9/vxVxJ//v76FKV/Xv7Pv/F1Zhf9/vbSP+FmBXwDWAinPbV2+D3
6wEXYLRcHMldBuTfpvC/XQ9cpvpk+dTx/48XY+sbHTmgDqK26BznnX/yKuKd9/OriIsLX1Au20Qt
uG+wPfhjVaioEWnPhu/eFNYit3j07HWle5884L2VNzyTbnzMlrsItC/5wo0J6nfo48dIsX9ntTyt
eVY3YIHZ0oEItsbssVDMYEPRg2cwwm4PSpVIy6EGMKzH6MjroYLy2oL4VxRigksvmuISG4pQjJF1
3KSKWryALx4TGPVR3B7LEcZUaonnAvAe9s5PC3C+vPZbpu/N65xmd4GwXlvX+DjJ2QzdfroQbazC
WWQsvpr0NAy8bpyiks+z7r8khDdPJSqBjTHC+tfr9DEb8hd99pYDR8ZD1NEdZb6/XxrzRXbFTVAi
FHC9B4bKuE43TUArDWXp4yCST36i7Ue9eu5aLT56Zr0OOjssSol4nDpsPt9Mc3Kj1sPNzGuLm/+X
igUgA1NS1e54E6hNaJWYB7vagq1d8bijLf+gSmYALPvsU2Myc+RH3HXdwmrTkOvcBjvYc/rkNG6C
1rOjVeV03V66QRlGowVGTju7RTWidPIkXbNhM1bpfY10lgzxsrUpRIQyz3H95l9awG88IDo2vK2+
a91F8Bgfbmc/2CONc1c6I+idKEFYJlBe85L/Xk723YnROHjtG0O4hHYtzCR/WVcg65g+BiqWf6Yp
e83r4Kao7bWbOpyl5/Q8xupy5609Z+FcbQPEzHVy7aXascaciEJ3lJDcM6qvudd1YZLgRUu8mg9b
gpqpL4g0994r4NQD7YR+O3TwJ0m1Kezv3ei5XegZJBsaCxVC2oR2k96XRpGuBX9zWm09OqSDmwIl
Opgc/9xoxiH3q0udTi8Ibp5E173VDdJwY5yj9eK61C1wUnL9JCycpf1Bzn21lsAahoSp0eIDwE9E
cRdRQAgzOe0ZE1XbNqYKwHJ9XGXVwTIT3hme/5W/j1NV11ebS0NGPIQTAGROEJ9UMjlm5NYDYroX
SBan3hgv1WLKFfzeI9H9s46lxCzo6ed6ffCl/5biiA9ETP3EzGmFdB/GLnmoB+0RpNxBL6vjQM+w
ct1DhiCBTfZL2eWPbtbwh7qMZ9tqT7zELoMk/QeX8i4v5G6KkrM9MKNdxn0dVAdDwXtmm6mTOMY2
WNJ2tk41reax0291YefbYWnXUdx/HD2MIJ29bJO2v9aDOnct3pEl1L2T1KcskXs7mwd+h8XA/o5y
td5e4toDOCqBEaOcAG/80FXdc1w2p2hKL4OwUaPN96We867iS5/lgvVO8hxn3s6Jq33hJv6BMgKy
N9RSiddfrJIBve9ZdzZ8VLDYd4UmCXiwHxJDe2Bt95Ghfh76eo6VzBzuR+GcB7WgoLnPLnIpPjKB
23uDDGvOAShBtXDwSw6S7sviB7tRGzd9MG7zRH4qyQZ2jv516eKBOhDXT4IAiQ5mYeUtWlncmwmF
CnT0OdP/CuvbPFnWkcYLjAk3P+Gc46KcHaZ+QAhnBCchxNWW+SmK53EFgPIyRrRjkqB8k0lPVbPN
bzQ92DVVcNPStydJMG2LRjc2iWM8JcZwnoBuWJlGEjR9WNRfIcGttxq9RdXF5PXHkxFrz5Murwyw
bvSMIL3r0XqZx1dTI0ab1DEA2qZeNz1/F63hbMshTnaNj8bYsi5zUPTwIdt9VqU7XJIj2yjjiTnY
scGxJQSNmU67k8SQQtP+4MUsYZLlLc29h4U917l0mvqgx9F9XZQXTWV6IxSM9uK8GLW788xoZVsE
WtIezMTIAnSvFnumGb9nM/UxWG/6afbmM5Ezc2sYtbPVE2vHFAHxRS5qwligbt1Y33fF8LEbk4em
XM7zEH+I2m5fagvaOaU+H5Mdv+cPCGKe+0bIw2TfZhmbK12GZurOPFamnWNXHOniD4m+sJlz5V6j
9dwv/qHt3LslN/ZtHPBHY1y1pi1XAqisHMwHMPyMuAzI/n47MqIxsJ5Y7qXLed9v8k4z8w2nuOTJ
KZKeh7/rncySjVbh53IrGhR3DYDrxJd8O5cz66F55bb8lua53rfTvPPiMrglFuQDYZblBq0agALJ
sjmW5HPkULxJSijsKVNuAwucayJ4eGTzcCJg5mDciQTdjiknDFvJQB7TfCrIE81fy5abBN/iVTbT
NbfS1li5CallJ8+fGf+YDOVctQQjj2IIVrGrInWpOxfxeTT6+lrSvfmYGh4JK2dptS1qPueuG/Hd
5P4Cv3zMbdqCkibHph4XRi6GdgaRfuR+cGv6mBWndOOZyxOypvu4aU9DY7IstMrQzPGNlEbzMRqx
yMNI3bRGR1E4+//snUeT21iatf/KF7OH4gK4cIvZELRJMsn0ZoNIC+89fv33QFWqllSq6qhZ12ai
p9Upiknw3tec85xh00qUN3rTvHZR66qx/SQ9/dj18LrR1YD1WDceayS9vgXWOy5tK3jhZL0nxWAL
YP4kDIITI32P04Z0IlbIPEi5WytkPkzG3grTI3Ai3TUJloyQ5CgFkNuWK5qRPIzhyjtFwlgmcX5N
8joNWjrtCt88GEO4VSsAKnGxSx0c1bmIl6HFcs6M9CunT28adPFdPgJoyLLbDFe8myrxnhjynRDK
0ZGqSym00YZy13jkNsbBzrfKPTa+B1Pqe7QNF5XOTavbEGCKNy+aGAr6V4NHpTDCHJ68YFUhtzPK
5oNs1QMpgm7NQzdA+Gmd5M3UiQOsnWyXi/C60ggV1lg2ymhc6CmepEHc1PNasMkUhWhE9EaWvwLB
sPY6lISzhrt1amJf1G3aao9g5NwkUoc1W3BXRw5EaVEuoN6UnO7xI6mFLrYeomAqVrAxPVfrJ4Am
onvH8Ta6PZ1FBxspbtTbsVfXelQ85KoplnoKXkLpwnevyjvmrcgZmkC/7A1x6fk6OUnEjIIsW0nP
2kROuHNC4ax9Hy5UPDHDNS6bQuUd93DSTY2Hxc97A4+m1VNLFerKG037lKv5RSbJrE9YkQSNuEqk
cmCRO9uu9HVdk3nkGQFSxhrwbDCaT0YP0d3hpIHPOxyGwQar3ecPbPevCsV80rTIWxdh+Siw/i+E
2a7juiORs+Zd2566deajpwTX0+V03H6VRAjq42MBfz32lemkaNW+UP1yqQHmXpZV+omoi1XsWCL+
4v8bCf9Qu/LGD4eCtjnd9RYqkbFpYfnMt7YhHwfG6CCs4A1UA4xsAggv1Ti8RJDnykgGOyuY6gO5
UrP+W3/QsLVd9JV35dTJEyx9uZ2/7oCMkAhk3Obw+/QnO0CqWMgrtR/Cg6NnKBSKnV+IWw3H2pQb
Aph3u/FFvhRpfCh9JhKWJJHHSD9bO2dIoWsrmtHbuCG3Dx9g3JnUmSTy4E9+HNXy2hnIaMoK6zJS
fdKtonViyZGYtOi+TJwnOejXUNLyvaFHGb43E1V7I5+m1Nk5kHFcTAfZJuv4i5VSXedqSMueyW4b
JQj2anIc8L/KVOg3gxpptBFVpcgVKCqpRW6sm8pKU0NvitzvOr7/roUn/8sxHbYqKnc88RnipwZK
C4UYNC0LT1GBpSE71tOwcOTN37/IvKH5j8cbrfPXF4GfxTgOGPdXkdV3+8vYg16m1HV4EuNOyY5C
CfCT3Db97d+/zI9zyd9fxmKDKwU0OrzkPzaDnhAOXYCgcNc++/xO0f8L3vkXfz9LYARnqPr5df38
u6oJRM9zM01OWc+DtrU9ROp/dN+/+Cx+9fcjPec3xC+KUe1PqnDfghSmG2V6suk7jLPxu2PgL2GK
TID//DF89/v56bMGSqUGDOLCE3ZDJXVjZLPWUiK5/Uii5d+/lV+8FFA+wCC2NNDYOz99FIntA6+b
8vgkoi0+F4K3Cxzy0uUaxjL89681/7N/erp++FiYXXw/A2CimHYWkdWnglSfmorO5avFmTp2679/
oV+9qe8//5/eVGZFTt7av72QjumULUuw5h6Zr+Livzxr8z/65zfFvh+nJbcjdIZ5KfrdV0Y3Mi3n
4mWcqK+95KUbVob39vdv51eP23cv8fPjNtWke4OXyk6Z/RJ5T1L5PzzOswUPhQR2QOPr7Oa7t8Cs
02ikwkQ04gTUsdGP/4fDC+OTYDfNppkl6Gyz+O4VMiWjvjfV/DRZL7112eLVFs1/Obt+9aHzEKPx
IOkeQvWszfjuNbD9ExtlT+mJ9AK87ejDVeOqq9itLbHh/f0n8ovXsokbBRRt2ZbK/OnH1wo8Vu1O
ZGSnYO6pV4CTAkhn5SKnxrr++lL/6iEMHoI/Dt3lS/Py/1i40bResnn73/+5bZOX6uPPA8/5p74N
PGGdYgoTPFQaUVOzI/WPgScyIQPNMfQtbjQMrXyA/xl4WjzqqB5mexl0FP7o2/ptnnkilcCZakmw
QvKfWVzt+Rr4z9EA2EPMzlaMtPxf1BLip/PO9yASskpuL6ck5/AO22faYSrTuLHIlpxTK5IHQwVi
N+beMawYCBkkP7hV1p2JHNpZDnkktUHL4nTlslbCPZzHI8PDfpFr4Y0Q8XsnWF1ju0TQqfQpQzmN
kU6Zzj4C301rOqhBPPST+azV8tGBowk60JGcUyj2HGVaU54qq7IHpKWhJLR86tOQQtqws+dizO+6
INQWOcAC1zPN+6psdtmQPTSO8uBl454G/6Tr4bGLgwP5Vc91bqf4Aq1zpRtvCcHkq5Q3xvcjNDea
xrRIzZ/SUYwrGdFrwIOIwRr2W9vp70atAO7X9GspJwYjEdEbsg9pGwmboJM2lnZiHuomuaX3i8Fn
gReP7es8dN7L2jmDTmUyVzJ6FX7UrDxSKO2iQz+RvXlN/uSV2onA8Tc8iiA64spftVlvbWsrPaMQ
3YYBAJTIfwaP3K2KxC6WvYlroy/yt151jrHCqCYdsU0Vsw1ilKmzDkuSXxHLH+jSSKTyDhiQ4N4Q
hzrm/Ron8IWPBd7XjOtx6j5DGX1YaXWrh/4Gie5j6k9IKC3+kXxIDobZRd8z4dNERNcNEfXK7Opj
4AyfCdfY0kPUkAtPuJAR2ewJ7UH6xrWEubq0w/hW+tpnq5ndbgznHwdyuZZ6+5gSLl/n+HwZ7ePi
BHLntU20Mc3kKZdRvNaK9lIL5ko7thL3K+JCoNIwp3gtLEAwpi02ZROQVQ7sH6kanxrL2t5F+IOe
NdQX5WSvzbCugUkW+9BLS+gKJIRUETprGKzXFnmhfWas21IyH508m78JXado6P7sqY6WScsTZ1i9
4toTD/FY8xmmWuEzn5luclxrizaz177XrWGG3ky2fhH2gAwsLSHQuPTIL09Aw3Zt/AaZ4dHO0GJY
ZvEqVGbmWe65VQ8eoxfhFqmE4uZKsBWZEi0VK85cQf4QFMkNTNfWrYXibFlL06t29kcalQd7IAaK
YNxiVTkN0Bjaag3QCpTR4S4vjQtPg8fI05guTL15BQFT4P5WSVWdiukMRkvbywx3Ddlajr9LNHYG
yzjuH5hIEN5UKUQe3/Nr8JqT1syjBzMkVtf0UpHdWi1BPOxxC24sB4NbAHg4tc6KF4ToTsowOOvl
4D8R8rWqEx6hhSR/57KgG2W01c5Du4UgtzwA/HgTlOQ8+o4xXIlEuSBxOGQN+luapJ0QD2+bdblD
2wxLpgzn7EnuNHIo6xE3c59cUUDPGZWRrj3GPbX6MckKdqVREqjLwbTehN8yso7NscLX03u5g8A9
lkbJYE6z/FvRWEn9pNHge8tAx0HJqjU1vefYCAN5FPjblUXiDBif/r0uf9sQUsT+9XV5+VJQ9P12
ge7e//d/foNIzMks3y5LeBAzGJl+yyKpwZlLsD+2gxrMcIw4Jh6dOf6EEvbbZWl/QWiLcpClIls7
k4zUPy5L+4tqSIc/0Q2NuxQZyz/QqmDR+emyNOYVJEU7UAgH/rH+02VZlXUqDWiCp2LWQql05Itq
1kcVCKXUqNx4CKfkrKDyivZVIKkKzYEDH5FVbXjJEtn53XxNilmGNRFHZCDMIpKUrTxSLRPQ0ujZ
ZzFruJhma1x6YhMj7+qReeXIvWxkX22kMX9DB2ZzDrqVTyR7g0jMnNViOOw+FDPbY6YgV2VWlFmz
tkyZVWY2crNRQ3eGhXKTIkQTRo+OAGkameNn5mQnY9astVzszkFHyMa3ZuMNnGaj4VwlSN18pinZ
rH0bDezAfoIebkQY188KuWnWymVfVXPI51BqzJJ831UQ1jHjE2t/QGvHPjNgd4BAkLy24qIVfrzS
CoQurWY5yzgo3TAx1k6ZvPrcBXNSLQuhetOWFZlM3AibYYLpZAkI1n28xdpM9nTj4CAIlpVM1B1c
7r0ukvBCBXfG5e9AiBWUBTELuBiWsdObN6UamlADqsZl0cq7cCp54t7eZX0rFmgc8ZrWRrJjm3Vp
gkzQs6xx68Z7rn37NkJdtAsVfStH74OmPiMbfCCAz+RAYgNKuAfeX0XKbR549aKMU3HL6hBL0GDs
GHkOS+kX17gJtwMQOzcwCOnzp7p087D2diz7BB5NpH5FxOXN9Gw1BeFI5nhCKLYfv1Uq80zkhB0J
jZN27ZQ4tSYjhqYAXgfwXbBUGlWsu144Md2RlhL/6GX4yhQDD4bo3V6x411hG8vBkoitpQQ6rlnR
psmNpNxWtZ97N+hYlAvVDN59JScP3Iudi6kI8Lgm1a4q/Vu2m/P9qG2lUjQu7dKqDlpj1dnMx7os
32d2hYox/cyHrOKq6fdi6B6Lmm2KOYX3rVbCwdMd3e284rFDLbQi0P7QZsMhTYV0KzuCmWUDrcvJ
Z++NY8YFPnrKfdOrSMOgpkcagz7Tlyer9jeYJtZGiFKUfE3cRXG9iSztkJjknQqneUYZcupEfOcM
LI1TfM++Vhob1papG6lluKqivF6HQQZUOD4GPnnDiR+sKJePGaKfhn7W7S3lPfRC5E9j6fqKH0BZ
Eu96WNx3sb1UsBAvKhJoX7rKWCmq8kRkOhGKjX3UBxwq6mjGV2Ysn5uCNDzVeremes+k+nJS5d7H
aLSoc+M05Ll2zKp0kwjWQYVl7vWhcrFeiYWiBdedTxkch+OzZt3GykqO9r4IcWF1FFrcuJWbgWcN
O7zpTZxcEQCruFpePRVKcx2Bs3fZ/JwDg4BRyoCljsQ4DaOVopjbaU6DhU1CLGRFklkFyX9WL5Ma
v7O6+IRg320ln7pGzltnDf4mTqdnx+yadZNWrolxwCAZM1Ei32268tD2084pwlciQCE4qypO6d5Z
FGF00yTGq1OhekOyxYKxtO59BcScmnp8iXNcXHrQrNKSs3DhTMmwqb9KTP+9cb/euDr34F/fuLNv
9vjSfPxKIsoPfn/twk1iD0cgsaDD+OHaNTScIgbuE+YWgiHCt2sXqif6UPpQw6RP/SGPw/rCJc0s
Bcyzw9oC9sU/uHZ/nCzB9KTf1eiBDdT6moUG5sc5Rt32LdzksT+J/FwRUDlG1n+ZL/L+vuuBbXps
qgY0R/BLqTvIhvnxFczeQiZvte2pltFFaN0rAprSVS23qnfuu8taXX33IZx/665/SP/Qf3xPf37F
+V/03Rxo3tWGCABbBuUt8MGRe2wBuUZLkcXl9VVf5fZF13BUmLHhLWpzbUZjyV0weMaqSRsLmWpm
Pg+ao+2Axs1JDChL1DrXF7odHIw8uQc2FLtFJd47Jf50BuVxzr3JQayhqERlGfnVSPB7Yix0LUBM
l8AcBZjgI1AwNzXt8Jo8en3tF2G+8cYhc8MhZAldtaAKJiLBPJp7pQeD0YbXNk5kJh8gHMLuoJQe
n1LEXtezScXom6UcqSHM/srj/l+QsLsl3ePcBfosyt9lYuaERv4eHBb+HeWuUtDQdtlzN+nnwQq2
HYfmSm3qDdaBjSzsCywMwyIw6WGVoqK1C4hhxyp0YzUCYAFkpzq7wTdh0lPB/WEdvS3R+DRXU8Fm
323TashPiS8PjVCtyyydjK2sm4mtqV6+wrc4AKs4IlE4FFa4G+L+WDkeqoP4cpzMB9SgNCJIFdlC
6uuK+FgMYO+gD4xVb8jjUEj6Ln3ZxcWhAUaF0mo36uFZTKWbeeUyHMYDot9Da1f5splI4fCNfl93
4qGk2pMyJ6Aym+6MhKIRvCP51W12zuKGm66/jKf4QuQEAgwFyRxxQ7NfDjaXX4eMUTLgqyPrDuEC
cW2K8NdaWrS7tu2bTeJpNRdDOR4gXpCJaWv7JMWK2p9kYF/XLftuNaAGDYJqrbLr9ZLw3GbKTd9l
6wCw0SKfySShw6a3ebcCtDeqGV1pNIVOm7bEOqjoSMwli9QrCBLBosbkZfZy01fdWuAba0xW9qqA
rpnfwEg5p14JZndAMtEkcXc9jMG16am7qm/hldiPmMXcwTIqdteK7kZh9Znp4B3YCOuUitPksVuj
ViDJ60NAD8tQeZRSZadoOSiDUNEx7lmZSg9p0j8HYXeUwNhLI90MwlhB1HXbwdvXNTnbbCtrJjmI
Ni6p95dar+w4KK5G28fTG+JO1qUHKkO/l2ARNb4hbjlz0ghnHbcEICS7KkEDHKJ90UflIq6n27pg
dDYmDY7f/CaCp4vNnMca8TMaGu3FaaMX9E/HHFjaguVu7PagX0CSMhYzvM7e/nvp/dZmsrT560vv
8qN7ef9Vo8lP/XHjiS/8TdxQOA50ExPkdzee+kUjAIqrUBK6YM0I6W83HvNaYE14JzFOztzB7xpN
uNjcdrQF87CW6/KfXHiY4X64kOYrjwB1YTCUJe3R5F/x4/VA3kOhG144nsLsrI+wHDQPRdTQOHfD
BKxejORXOFp2sKfkGkU1mIdEcS1lUkG/JZy2YQ3WpXHwADsncN05Ghjz1QniY9I699NU3vFV+mxb
f10qZjGPQ5+SIgVRUJsac5VpI7T0QFpvT53eOcTUo0AQJaFErOgQasb3pm9Oa53tJV+y0sXERS6K
ZjzGCbXdOL0qHpFV9A7bvmzv4rA5V468DNECbIRj36QxE6p88C+9rrlA3V/gu6r3qo2UZYBxlw45
73laRjYDPJszzA7WbJ09wsSzdRYoD22BbINGliywS1aD60kSbASTyFt5GVf1xDkSheW6tBMiysEm
Mfd+z53wVMeMv3zOwZtJSUnz9pghFbU7lQNNX4TxHL429lcGcKQMGU/pRDqM2XvWaghFcoGMHCV+
D6pAGTyCgfJoafez/nSOtxlpx3tnWuhqe2OSII5uxGAUjTrS9cNKIp5o5xu+NXLwfoOJevVO7XvW
7+CbStJ/cHUHqyRqugqFrB/RYwV+IpdejjK07MIDGqxVXI8bkQzbqe/MVUu8One4z6EmO9eaPLA8
ZHBLi7M3teRHERnHRNTOgrjV50kyojBrHpzAa++aLHsOSSf3DKbCmC4MWe/GtiUTDGa2GWXbXBPK
KogLY0FywtERcF1jBI8Y+R5GaV6kBQrU1BhfStUo72RKqngqaWs7ptH9rsU7P0SRtw0NT18oobcl
q5QYoVLfj22sMtAnlHtUcL5MqX2vdKTVm6Wy7h1tI0J8gHMml+31u8nB5YdfkoGlnwHyUuCZlMUm
hI6yENZ0zjRvrbfcZgrT/6pq7yfUWomhfeY6vzO6mkdhI4/24jvCwp/8tDoPQRzii7S3cTY91lWW
8tcHW0SW+PJQGWZDc5G2ZIVp0fTYNSMEzvKlGcMVtPm9E4VLNSyezJB6xtORT2LFQ0FaJbf0SHcB
y89F0WJqEVa8j+FZFxN0l8Z6KgESLarWPFbgiUFEbIQON3lUho0YRzdt22fD9q/xvqwtNTtRgZ+G
Qjh8xybtAHMX9JiZHaa4u9R0fx1n7zE0yBbVx6ruvU0e9jOdXKpLjHrnEDiizQx+4ZBExWvXjxMJ
NyxFtJfUA+NriLhxRQ0/O/E1XKnjrTnRKQ95grmksm4hxe3xsD5NdnBk6Hmlawqz5xg8c+m8M/jd
po7NY2SVO7R2PIDenFA/rLxI+zCi2TTUqbc8xo9Wg6Fb9fLLJiTm3NHfnWmsVqx+zrmHLDCtVel6
vkZgmJcZi8QMkEgDEIVBOiRnaDfXMfyvWa5EsFBHVkmKM3Wdmc7r4DUvcVKePbUiNMQyvGXdC89N
xxLTa2Ts4TLI86TbG8CdQXaFxzO6KTL1zRt1jcH+dDfl+UGf/FcVJVmbtOOWokJZNbEGvcHHYlkE
9XpMkPlB/vrIC2tatbCxoJAV8LGakm62cfgNOBY5SUZSuZ6sDpNq7RtNxQOr7oKgua5QIy5Er+/M
SV4OrbLPU95lGJfLogkECkFFEnTlL6MgZRRuyd86mX8XsbNk4a+v/HPy8vZR/WK2zE/9cOVjdvzd
XTLPdv+YLatfkJZw35vIfb5Oib+78tmx6gCF574QWRM/9W0Ra3+xVKbLYt6w4yaia/4HTS7OyT/f
+YZKNBklhKYhD/ipze3GnumRtPpTA1AUlgkpiN14beUd8G/HP6VqGb0RxJBBeNdv4dpzeegKEzur
/1QCscYfIxeTriDABHUNsY2i20IQS47ca+UzahwSC15im11LJ/G5iHNv03fekRgLSL+F9drq4Y3Z
TQ8BUz2qXSj5WiHdgRg0GEjFhT5PvFMLv6PuZOsp0W54rWXfqC3klDZg+TSSG2ezboFbdWxi5w5Z
EuOe2H+PavsokdsJOZwCv97mFocjB9CVFgixJlCkgy/UnQcNLTbqFZP9GRDbNInnc4KKv3R1UBU7
armQO0bdqgHSQafB90ZtYa/asdBXeuxt2IiipNBTZ4td+Za1GDZxZ9nq+qotKIjKiuzvMB13kwp1
tskC1n1iujecdwiIy0ob5snlBS7LRxL7QreI6gEVH3TwdqS+MTvMnOxwPzqR7zrVWlu6Yi0cEdz7
Ks5qoMkI3VF/olikyJgnldapD63Ledbq59V9rhiv9IN7K4+Rtk5LjONMrtUdEW5X2ohLwjfMa5vf
kBcSC6HkUNCT5LKSzrUZitd4mEhjFDRjhlBnt0l/l2ryKULbpRUWfvwuk+uiVYk4H6w9BLxbAjwy
15zEfdhFLIozkgh0764YqksmDnu/AitWJwmZJ8Hz0Cm3hY56PhiuG7yhwlQeMWayHo+ossC0u1UB
VxCBgL3S6vLTGscb0QINKaVz5GM69ExkSlDInvxEl76iBSb/oZ3WhZXXS00STYKByYxmnpBvbabI
MhZVlj/rmfmE73KeQwwvsu15vlR8GamPv7Br8oPaJe8eT6RTgfORRN+piQntYNzmZsNYgymGFui3
BpNgPyTCgSLorIq+gTFKJAZzzGBRweBZKkELIl9nGsFk/D5q+CVNFHkLg2t7IVPtujGLlVOk21Gk
lbOqm6xgE9n7l1qb3w/1Ewl3Ot+5p5T1COmkYhuwJcaQItmzjsHV2FfOziNIbpFb9bCRHZp20fbS
bUs1Wo1twPGvFJ8sCOACsBtquJoCLxqZ48TldNd9rQkNIjCp1ny2kzeZp1NhocW9ZymfryQ1JfIN
iMlUmUMmKTfnuhNoA/nvzmYsekpS1baXTV8lF6hZrVXaebPYXH/KOyNaAauALxDwSBPtARea6XKI
vspVwnTp285wYxdUwDneiyGY3jUq5rD07SWpdmtBLd3GJItOrIJXGXmry5iKO7Gsy0HKBdYxdxL2
Q0hlHtgMquDKrDG57UJq9wrleUItn4Ttupjrt4kqH4YA+yjqfhlkpM7RCcTSvOG3qxL6SKxoRJ1G
z+DQO1S6zFzf619rU97nuf6YCitZaPQbUULYSgmnYnbC3BsBNgkK5cBF8H/Zzw1LNrcucZAcBL0M
/61GdiF7+LIxmIvT8Gglgdx6/DnSCRWRdV+UbI4r+VphRHdFap1MeiezzZmrlMypdMp+9MZsCISn
voohurbpvfjwaMIihC5NbN2lXdfzDdEbINR2sELuvDTnu54WD4oN13/e8GUa+epZFAZ1oO3quVII
KRmI0qRsVi+YR+0RQBziubYAbYirj8QFQNmps9DDFBaGZUdLmarzErv5UAJCPnKnjNZN64TQKMVl
Ntcz3VzZaJQ4k++9KGN6CCh9lLkGUofxjYij6GYklQPtAe6mWrLEGok+sfzyrUfNicmGlRlFy11o
m/ugKN5CEt+wO4v0lp3OVsm0O0trkfEUfBqJ5RGZE4ul7dkcG/3OSguPlNcWnji3Q9G8OVrPmiNN
eNbwpfQUfAIBz0UlVIBVbDqzFePoel1/NV5rX03Y/w5Bvg5BZoXl31VEbfpS/7kimn/q+4rIYVAp
ra/1i/3jEAQSFeMMAaP6K3HqW0UkxRfJH0GAwD/7O2LzW0XEfMSB4+CwMaCemp26/6Qisn6WpiED
oLZi3jKDtABgzX/+3ZCczM0MttSonoykb+ItlH7yc+0yPkZeglyHoWYwPXjA4bWySTa97zyQO4v8
KPAwn/gbx0uYbXDEVE1BWkteoVnKocqLfQsi2EyHnT7Uy6ndGpHylPs+hz6nmH9SI8c/spO1XdOg
frBUROxxjYXRHKd3+n28By3NqfTsJ7BYjEZ1heTIvoGIl257GrWlbnRnOkV9VYLJ58/Ffupm9Rce
MpAbJl9k5vMKiMK0Eh9hUX/2k/YOHzIk0SEOiMkeblJ74AgbIOeOykM1Qa4nzpqZiGm73eRcZuY4
7hUZX5vz92hgjA2jhQuB6pf/UH8aXiv5H5Lu0KlLVSPIINLCcOF5UlumAXHHU66/ifiRvjGoCUSt
BXcCaHAzcoKlZzXVkiN0lK4RC1xSpD6xPCyga+2qWm+cFzUk2GoVDhUGkawLCHnI4i1hBiVDDKVd
YGYtVsJjQo2IfnY8EANGvxvjAO0q+DTwEBej3zdXWF3JrJiS6qrL9WhDXkO54FzhVwVVd1FXUpDD
RVxSmsUa/jDzMZ8qMI9kY69kBa00z4kra+YrdnBAa3uOZ+Bu68crnk25wK7KBBZ8RJCb+YWDdWTB
/RoePUNEy95pa2hAnbUZKiSH+D7aelmCQCMRUvc2atx+ag5E0TIogT/Gnr9VTeW1IwmUvYVDXG/H
oE0tkV+EOKS3gK8+HPYAQK978BIFjypDrx0aRuKajCg52zpqB5XsdPSCTBUcyOYbmej+Ku5qY2MH
5Uc6qM7GmCPYEYMlZ2vK/Qt+c1wfXp+92DnuTG0MxdYTkt+NUMQiAwrEzKmJq6VqWfTWwNheizHz
FzmQa2SZM07SVqp9D0Vj7/dttXEC3OOFsPVN0ZjJig9PMn820P9Zki1C8KkqUt/UxFmAAyENFZcR
rNCKbL9XAdSHCRKwkz4NrQUzFXYhhexWFEuqwr8yM8mjaJNXvnP+RcWmfNtPcdasApKPxWrQbTiv
HUvjz4SclK3N1vEqp+Bbajah6o3HWmmvU1FUYrhN2AJhh2Y9lengY/OkvAeD7rtiAmGRO32O7mDA
nF0/KX75kOQZ5REazVWQMpLo0hyWiLBSwCjRvZrl56isw+fRwV+oBX6AK9K2CfHFOzS1V2GGtdQg
D9rNM4YbTmt+wFV8boW37n0bcLujfPZRA2o7C58APF9gOX8c2Blu9Fox3SSt5kPEOfKr2LUwZ9G2
LpV2luWk9q2wjXOpBhcFgt5FVuWXlpBvmuk8dIkygHoZzs1U2Tu7qrb5VN+AFrljdeWtREM9U7bV
qovGkLzXcNzoGvNC8j4YNabZHlQocong2hdIMy0fmnqb6OXeENML47eSgl/bhnlwEVveydbZaA3A
Wka6Ur4pSBwzHjbGxMgUJXbh18hmKGjGTbT19Q5Ln2TNN1CQXZgmTnNp5qhPjfTVqQ3OLNFmmKXK
c94rN4wy+00Ux+GFjx+UYRJhnPHY27NMt3FHpTEh63AmeXnvX6VYVRjw4ZFt5y/PJDzarvlFm8II
VhE5ihtRF+F14lfF0tZYEHHCtJs6MmmIDKg/hVTH1RTRuEXY6ThhrHEztGMEtTbU8RqmcuVMkYlv
1PisR39axnLaYZ49Mazbp3p0MNohXem90DZ6rycrXRTeOpY1JE3LECzKILFIkedbzRwMYK5U7gHM
Ug+14EbT5y1YxL8WIqu/0nrUE0mmz4DkZOZ9c0oJkPzoSXmnRtXBLu5Y47WRagIXZgAbpTS1pQ++
P0uR9HBM/Z7m/O/wZ56F/HWpcx12H/g6338hxJ9/8Fu1o8ovEs8FkGsUDl+TOr6Nf5Dos/7XqGgc
Kitnngx92/jIL4JKm9wPJH+klxrMk74VO/oXuFiEZiNYnDme/wyD5czKwe9l+JaOuHEO5XVAl8Pc
+tmsoWUdqAldO1Z5CbbuoICuCYjwlKJOxdJBDn1yWk2Pcax7jFzwHk5rdRxVi8YEcL3NWXlq81Lh
bB6UnWFk+rHloln2Wp3tmXOmN8wY+lM7yOKADDl/a1CyX2hpH99ItSevIIf57DaD9cFmHwWbtL01
qfNzUnXZ5M8MahhLKx2dQtUXC0ZI8JtVEMlJZryS0KB+Kno4XWu1iVjZCcjPzEY1WeB9WEyFWYJ3
ijRGFxEAi8CKz2naercatcZ1WyhJcCMiI/brTWKp5bRDcMY6o9Jtm6Q71QIazQu2oLGYWrPLqYIl
B0w+vqBW6a6qSrWZgueVxrpkMjtxaZpFtEqNsIzuFFjG8wIltix30NBYY8fVCYw0urF8jttW38ku
bVYTVejSmhjUF+OF3RRke2VGsBRd5Rj7rtCrFy8KTQoQhtLMEETNcVR28IjHMNN1oovqaDdiNHCW
+SSvJ7XurK3WERafW9Fbgxj5oiDKfDoaME12dmmH3TWJ2+p6rIxs0t2AB7M/pg7YdWXzb/PzW/PD
9+OvT4RZ9rT4mB/jXzRA/OS3I2GOLHZM2hhUP/M3n9Pi25kAxtSUzHbx4Hw15yDg+XYmACNiyUsK
07cm548jwfwCpQjzGTg2tMEq6cj/qP/50xbYwTIkOBM0psG0VT9tget2NAx0hsqlZaSRmzB2DD3k
B4mJb3iGq8TWuFVm3ArLhCuAeI7bzSiWHiZLPyLRZ6G4m2ZcSzGDW1g0A9CcYS7ljHXBFvHKWXFP
aOVzIcrjyLcBbrd9KGYkjIQN4xU6pPlqk87QGL9JrvkSl7jr9TcTrkw3A2Y8XVw5M3KmtwEOVFH1
IAbrc5DmsI764ibVojtLncdHMbOSVmGjkjrlo2yLdgl0lShMpV9HfgFwI1eIzYzbhapUmz7+/+yd
147dWJZtf6V/gAV6AzT6geZ4E1ZhXohQSKL3nl/fg8pUZuhIFdGFWxe4F+iXqkykFDzBQ+699lpz
jimg8fBpCzcdwamzAXAeBSOEEkAIguuP6nOZ9sJ0TW1v9qt0lIYMqEPTAkerYrFk5CupePZLfEHF
YK1KCaFi30yZJ0NSw1iueL2GkCMR4qsunogwAOaZFaQMdWL8pTVYA0XVQgJioo5qT2l/LzeFQf9t
sIiHRq/EgOnWGKXEljL5OQZtQVGFzx9oAPT7ooeo2TS7Ssw/wyuKa2L9wkL06KOibNIzVb6ukiDh
UGUQFTaRCxoy3DU4DRJpIi7kwMdcLT5RYhfnch6LAyDCyREMy8sNpvlBuc3TAk1as87A56SWsRs1
/5GtjS5fokzbgsDjLlfFrUTnDjhHM0GKGEED6bjSxZQFh8/zgMYl2vW0mr2S22ebki8suKTsjGvw
jkY2c3gEUIQ7GHv1O6+jXdAdyXeKR/2d6CEN5nGWp2uxIW5QxKcBLIIGcV2KtwG9fX9Bg8y1cq5g
hQjQTKARXmuxsQWXtU56QuUWuEgPZaQ1s/NowdQa5QkMIhj+jG+eXSaMtQ4GVfygASwxCsJHAZhk
C8nEAmkygjYpQZzUoE5InX+MWiYDCwOFBbd0dNSpBPsp67EnJpbWmrwagafoC0WFrxwyexd/jSmm
+5rPJky4tZSFvkLKLQdSanuwLPg/kBTAaWm79Eg37SZbCC7TwnJRBPU26obPudB4WXNXd5LkMCe9
DoDAlBSueTnvQHB9Eq14cGNwMQ3YmGiKObzQBIia5DlbyDKCQX28sGYUoDPhQp+RFg5NBZDG8qXC
EzO2WH1GfQGmkEarDMKmaAS3AGlD5thnpRRBdi2wmyA8D8Bvqno4hJr0KV2oOKI8raqFkxOBxPEB
58RZTlwfx51wQeosbB0EwQdroe2g+N+nKX8MDM/QwuMZ6mxrAujp23zPn5zBaCgKKgitBa29AH1A
DkwMGBbMTyguyB9BD55iIEC5FjMTWrBAQrOBefTUgAsarN5DDL+OFfO5BSeUdSqGJ1xrSCacFuBQ
HZSP00IgkjM8coOqH0zgRKZUERC78IrqWnmMABihmHLShWhUmOq1AuIIx8a1vDCPsLEdtYWCNIJD
8nOOVVZdbkJASZGZPMRycgjE5t7I0SensXjTglaSy/QYcjZIxO4hydTbemEwZcCYMNAhnKmPEZCm
caE1BRNVVwzAKZUJ7QDoxEOyKxbCUwjqqfER3i/sp67rHzO5Ir0ajkQPHqoAE4WGbi9w1kANKWxV
QFIiQKmWdPAMwNSAcdCak8MIpLxN5+u2TzCJkeShgKYaSx5ZExZk1qT3QKKfE0Ke1ErbtkCtGhWc
MZArSQk/9UCvNOBX1L8ph1l/1WtQL8BjJWCypIWXNQPOwhN2mABp5QtRqwGtFRbJPgK1NYLcYiqI
JJPqSCoq0YnBcql9tMrBdMGK20dgu/63Nvlem7Dtv1ObPHWfX36tSpa/81dVIqElA9pgYlcCcXGh
TdPBaiz8RMrf706nH1WJ9Q+d9D+EY6LMHzEWf9SPk4oJPZEpB5zEP0qWf9EE9UtbljeKjrGKSWsB
zy4j8bdt2bQlYWUsRvHcxsWjb+W03BIF7L/QlYxBpRIM+FBs2IKs05LRtSqKJSIO4UlNGC2NiRFO
DqqpQ13Pna2aybLY6+t+6G5TcyyPNcCxskdo1pqvEtpWl0MKWFXCbGYGDBaDBhh4oovuco0IJbVz
C5Yu8Nn7gfGEip/jrgoC6DuMLvTB3BddeV9LQEdVTE9YR6rXdJl3FMvkg1bdZlxmIeD2UIyAT1gz
GlavBEXf+/pgee13gckg+EzYEJ2kqE8mVCiouV79jMRvILCiFyxSFRN4gE0Vc9OyeV5Zi6AlW6Qt
qUJ/xmdhc31ih/CQsFnmPl3XUa29GnVMg0om1KqTuchmyjB5jGTlri2s0hVQ1pTwST1/Du5rrJ0R
APVOpzGXzdLGR5WDuzq34zDcEB54nYvxEf3eU4aOJ56tOykuDfQmSHxqWbwrDQ5gM19CS+SaQ6cD
vlSrvUyLRKhBK2QuoiGaL2QK4Z4dVPHKXIRFoR9dRxYaViEbzGE3TSLwx7z8JtblTtTzkzlH+34q
gq0SNzedjgB71ERofXUGfVBP7VhPsWyXKcerBGKwIHQVX5iMEsFq04Yk9II9FrOTebbkclqDVOSQ
p8dbZNvWMWjqr3KFLYrGXXAtMGdiR9cYKfXJqZrkbymyJ4LhdYxoYbyIAUNsZ3m+kCUTLXBbjSDH
HEfojkj7c0hwnyOm5nkQitahryXawVR8yxJsUA1EpK6WT2VRIg9W5hrKGywfqSty+AzCOh57uulS
96yX4SdoaZ1Td/jOSHojaYso8ibg5qY5rjizmT8Z0bTonz5ngb/uoIzu1Fy4lszymwp/oQuhd1Wj
6eSJXjsiuVhbnQFzqWe7sdU8NVDOk5ScsUePjrWozcUifhAH/17L2E2RVUBxEAxGGoHGx5ZJdJcb
8pc6lGIViY2dKN5kU7sTwbxVSXwTRSCiu/RpEOvPQHILZNMoGKemP5l10rm1PqCYEPOjZnJzNVXY
0ZhT17qIwKIDpuzmgXEQK+nVlGfFbdrpoVTkjmN4uSob7L9FS7NzGvttQvfW6XPxNKTD55B7TYew
xHykA8UqZAIv8/JoIdjQTcieodLYJtxpYiNJbYQEIKRDheYbi14SI0Sckop0H+Qf+aR9WWxgQyWP
cOLiQ+XXMpS+DBS+LK/jsHk2Yzp7TCulZP4kCQ3EOTbAWYVrNljHesxJUZI7N5j7AZZzcjQrDNdA
rW8Qpj1PrVWSHBKmmBuEcSckk7AtMgKPciSXfVLdqqSHhGVyY+q55pRAmekaK36z9Q1+ylyH2gat
pVf7xDzFipBus4xkQ1HObZNuD4b1huiCwkAtWfAQTxTV+B6NM7YzGjtDkbp+mCIHDcZreuWYpjTx
1USb4vzvPvtHD+DdfXbpAazql/w1al5/1wZ4u+HKKL6BpAB6MnTp+9b5VxtAWZxMHJ11eoAMPRmR
/thw4XrI5PXQ7/nrb/3YcOknktWjEfb377E/IUXHZEUWm4Kr9GK71VJRNGO/ns9z+1CZPk9va78p
QH5jR1p+wt+9x8WMpPIzoLyq+IW4xGJWejNnxSepl2OpkKAxCsg2VoSQMzv60veb96/zq+np5+tc
uKfJ7iux8mrMc1EpS/VhML68fwFk9u//Jhcdk4B5HInm/CbyaJCzdm8wjgGpZAk0T3uPQbfT9E9l
t+miqxbqhxR9jUPweVdycd3mGJzR7FZ7XQtwviLIUq+7+HbIQnckjvf9T7pYBd695zxYb++5Egk+
ep3lXijs75QO5UNHQlchqecBARHJquj8vhkCE2/+0dT/DO/6p/SuJcDhlw+A3HDx7omqhhPi5w+Q
m4HU9qIxnac+pj6TIDkcElz2TG1KFaOUhckcSK1p7uqRnL5uuJGQo1C+FXiHRWF2apTrNogOEdpk
IO4GcPL1Os2IT1Z2gy82HCaEWLoflSxeK4kVm0zoWjuPY6/W621JvwN650pqJ5oA0zqcz70eeVmA
locudqfP63q0rjL5CkrdyodoSqkXNHf4sI9Km9p1ors9zCx5gCusaUjgGcLEpZtod0QBVsjraBfR
8I0myekgwxpi5g3kyVePTQyVV8BbMOR7qVWv4/gYEwrfg8i6z7TULpVZ8QrrrlUXT5Nmx8sYR4sC
FbhZZbqiyZSpSNKnVijJYqFWsDS/cRMcZe8/Iosy48039N33+PbFVy9elyGymrgdm/ksrpWNv50P
7YOyhsF6bmzp0G4qp/ZM13KmleLs6l22KtzxSdiStbkW1/oxWsXH9z/Qz+3IX5eJixGFmhJNmS2P
bJFsC6rYwa1xua8q8YPl6HdP5tvl6GLBM6NsTkOaGGcht9O78UsVOAwVEC7o/h9b4z99CaSfb/Ef
v9Lbl4AG8Nu30OL7qBUrks8hTdQreMBUXYT/Do2HYys4M1h4/xb+bgXkRIflxiQgDqHMz9fLEJ0Y
RqrI5yFu8FF+7oWr9y/wuwXw7QUu7h2tQiPvAxmWUO8uIpVBcOgqfvBbfHSRi1XWGi19nuiQn61+
P1e7Vr+T9ef3f4/fbUlvf4+L5XFir67rTJPPMu/2iG9U1G+s+GThFv9+oX/3zPQYvdZFU3xr/3P5
ya9FOdUEaLb/9fO/Nn/8e/C1WFBhP/2L9x0bdt19raebrw2EnB+TgeVP/k//45/slLupBD728iWL
ctr0bR29tvKvLQWV9/OdEUn40rS/aUQsf+tNI4KuATEd6NFF67sT7k1dRJKbYTEC/cEn+7Mu+h5W
iIqe9gRf0pJW+FcjAukYTUlFX3gsf85gf9yFqz/qEW7gP315tV8XSFoQfAhSzzXCmzGJ//w2ycvF
y7RKIaYYyHnVjoVRHT4xmYAeUQnnMsSo3MzRMUk5P9QTyIIJfQI1No3n0fxadNERfeYdjlNwtRKL
OwKJktMc4C9T2Zhpt9Jb30MqsRkG/h+SCS9U5iqK9NRoHCIj3J7KGHrNWL2EBtiztvtqxKE3kM/b
ClhKJqk8VqP6StLSOphQaSpNgbQ3yrpNXNab2rL2TUy4BEG0M0BiElSwzmg97N7i3sB5PshhB3Ff
jdgf5ZeU2oyDwmMIaHdl+H7nlEQHrWsMPY5FRjNCjWZHmHO/Mv0SV4qwsZTYS8L4FqddSfqNMnh9
SaeA6YjdmOWKVHZsPXy4PXmVsjObw+wKuZRz2jfOlpJ+QQ5VrieZhSQKIMEIk39Xp8W3tOxGV8wH
gbTR+JiocJ2jQE5QE5Wpg5eA7XgsJtQ3pscMehdqbe4GQ3rfarWwy8D6Qsi9DkFC2DlheFJPzLSh
tUcrl++qsFsjQb7Gbi543cxoacqGtTibCJPQTwCAvB5DvFuqaT3FsXQzNaVAiVQYBBMpGcEUyt2c
RU8JFPIhZSpE65fuegTQn8Z2XInfluSIDcYlmr9RN3mo3wJO6wpJHuFDGPP5A6gdJG4Xs6NDBu70
AgpNrqi0+QnfjhNSo1N3CKCbRE3E8F3SHfDZdiRSJU10w+wiDx+Jd7oZa+AwhVkyBVEABQfos6oc
X1k74RgckIUQB9darkQHYp0V3bkozAW0x/feAPyQ6JKJWfkkddGhjaNDHUF7FgLJdDSdCChVRvFk
NeR7ZIKCHaktobYVpxzsdRVpxjYViMYMmugkxsVTFVfRqkoX61hUuyOyanpbdOJ6elFS2m8qSbyS
5cYptQGvh+Tv66DbNnl53wn9umhy2sTFipkeRq0sItaq6S1Uu3QO9DRE+iv2j3MVfW16MsjjcT1E
5YQOrKIzpxcwevmtJuOqgATgJFZ/aybpqoWYP5/a/ugL0WoSrW0w5mdJy6/k3t+kGkhoWkkERzMT
WnDtHcxXjOWzK881RgwQxzygke/QCvPtih5JkfND84zwPFOXM2dQ8YRnYv8tTMbEHTPF8MAM8aom
zeeR7N2hMAk4HLttIVTYVTrLWjPw34YShOuZWUdNG5xeIS29cS0IY+Bpo+I76O+GlSWY+P4ZLAZj
iHnVT2JildUvndaqqy5MvhRK/1jN3Sszy9jjnI8XRBmupi4GRRDphBa3euuxHPWKo3U54GtY1O2e
tWfRdtKvi8aKHOs8a7dajpcdi2Opa/dQbExzHaq1BPl9KnmXqhyxlTHWM9FPsJU8MxdU+ms9lKwN
gfboFOAbztGJ6czU3VpiJrW3g1ULyr4bu2I/aMwAH5GVyv05actNEbQShhcgAoWaqKuINEa7Qkom
1cFNwyDWaZNxp6p5t6qFmiBxQd9rxshUFlcVwjP9tUKJaSetzqQiVh8TAZlq2PeEeYmzvlMKHuYk
NznHMHKHJ1U8l776wmhUdluTclyZq29Y63pHYVCKIm2QbRFopF23JEpNyXicysYdIyteJaVwVPP6
WvC7fWYWz300MGZSwAkQttxII029UiOSRRl34UQ+GJ4SyyhfImD1+jI8b2WUZgpNALtth1tRjk9+
Ayk+np7SUP42SyI/JdC+JX1GmnPkCvNOnkZE91qNyrG+SVDa2iI+vnEkSWCfhsZRTFL0OWPxMgTz
Fp1sjdd6pPnDWAW8UnbSjcXso1mBJwrCtcyO6Q4kvsCC6I6zOAHOGH2Hu1BujBwgeFOI7VpRe9Z2
PJWGFRl4iSfeJV+4axN31oIHuWbgbKoxzDohwYWcWAMXr4Fl4ppQZoss8nGxPg9R4AxgAs/ZWA4e
CtBDabakfZpkfQSScY6G/NilBkF0gJIsAoearNkEXfuiW8Pk0WS9nVKh8uYMqZ1vsYEw17v3O2Sy
3ZA/FMQ6xkLCZ+zmx66yQlIXdJVngGQtcl4Fpy7ar41l3bNAr8SSw2UWtrYcKBslLu6rnuFnZIwO
eKNtNShXPRHyllZ8jtjo8B2LJ1Vs96rGe4ezyV/7s1TjYK1JuunZEtohsBFMxHaYJFtLm0y7D3In
NuVq3WjR4ERqc06i7opKZJXL7ac+IzU9wcFO8isPYKeOXiJmvSdKJmmXCTB9ZKShY5CT5OpJvyYC
QFrrgFG2LTfUacL0LMJatE2j3XV0mLHlWjvcPvcp82RvKtgEWbJWQjQHa2JFySqwdIcs4oA5aJ7u
A0m+0iXQUEJTLgEDYradZRSQPYJDnEmVTyoOWiQ1ugq7GPpMEayEHLQHixwLnDZs5kzmldDMK7nu
Z0j0+KH0YnzlLP6gaBUhccbrrCqvoy7Sl0UlnQSPKDF1t4Xz5mflo1iYG0WtbwfYH0osOIoM11RM
w71cDy9Blq47Q/5qJfMO8No1llaMLa14m6vLIi5o2GzIV/q/UnevvxYLarf5uc7+f7rs5oz5TtkN
BO/lP+yX+vNL/bvqm7/8o/qGDoz8SEUYiN1iwU28ESeJCBZlEdI+0iAVzdvfXUntHxJhq1g3/qyy
OZv96EoiWERiiLRboWuJYvFfClL++SRLcwKTB85XpGlsKXRH+XRvT85KKAlDO2XqKcye5+Y0jk9v
bsuf1f5bRBLeWn7C313J5QpLRjoR0pw/LE0zLs7mnd+opJiM3ambNU+Wy2/0pU6pT15k3X5jvgbG
tSbsREXXLAn5Fl/tpq5iLNtED+iCTnot6V+5USOREu/ijvWpKb8IhErZsnXoNHaWpk3wbPFuS72k
JUAP20o5B1CNQW1g+wy4iY4WUmKDupjmBlCrth3Dxv82aCLj+SzUASBGQO/VKP1SyakPKQNSvIrf
gTZqIDzGMGNYXtRXpj7ZqpWMwAHFUO0luv8swebZKA3BS8360SIoy5NkDLOlqg5X8YjjTJGLdiXV
CseIOt/3dfTM0OOgoVW0rAyQUNBXG9afDYjC2WUIcedrKbqV6GiGTPJnxvqCiOFKUkemXAK2YovM
QzJfVp1qukHZ3hpsvQL6AKUis1IUNrBTd20pFpQm0/WYmDvKZKpIsq2wGOwqw3jxJVxurYFM3BIw
BkYvbeNndrNYB0iST4P4LOCgQ1vF4FB+apJgZ3XGBrbbQc0prmq5P6bwifVMQSdUbfSpMuxCtT7F
0dxu5iS9qn06S80c7ttIfCoredGQxztVIN8hRW/FFArDw4z2RskZhDWcvToz2k4pMUBarDFpjfW1
WEWNXejJc6daHoMvDAUBAa055yIcRbuRvGJL7R/UgrIh1E56oz8BgGK/UG/CjL5v52drQ+2P4VBv
CywvwRg/kHGEC8UaNmmPwEZOb+HEE9oWpw9y3nySfOOBFOVVUes7c9aQO9XPOoBcChhrLSjNE0Be
F2kF5SQWIigpHlAKBwKHqyTjoRzojXZVgMp1orxozUYmFs63A9145i1YxVH8FPg+xKCmjVcCmDKj
rL6x6WxMQBCqUj53tfgkCOTXGBOFFj6gfrQcUUs/z4l/jX1zBqcQHJK4TtZkYGNdEoy7kH2tKrsQ
QAkHVTFD3S9lSNtK1GjmbGhHc2zyXRTpHAlLgvY0/Ta21MeubNic5BpHabm8PTFVlEQISVea2LCG
CpbJWBPmpd2MJrlL3dSle/b4hXqiNJ6Vlr2NIdj3hkY/Ba1Mmo2mf6LVgFyv8s3PmLZ7L8QsUdh9
qUMBzereb2A8CCCbkd9Ep7GO9EMFAsu1uBXU9GXg1MKSYJUWoauGjJbTThC9dgbHkbd+clNwKGjt
rBP31NKwxSeZLn+9b9vxTI3VbHNE0bak4NiQ5KrZ0NmIvSDqDroUIE1IynwtzRoo1NnCBiuDc1LT
0ivaqkARHKVnA+l1giSpuZ45yDq+X75q8/Sp9pUXI6k2rG/HOJQyx5IEwaWiOvgJNYiUSpqd6Nro
tGmR3RYamE7qHj996JL8ZuhrMNayflYj02ZlcepYdRFldC4T6r1RcaCRJT60MVznnRI4pVHarFG7
oOL8pFRe3MdOObcH3FjrUAuPpMc9JDX1dbc06v10nY/JMxUkM+SopUj0dVrh4mj7amR8LgeBXsCM
ZQb765DdJVI2rHqkdAoMHIdandrenBNvjqL6OJvJSZFLFAjNtVQhCU3hPI9Zx6l3IBRYMray5Hck
4dDzTyeyvYTyLuOM1nEYTd2m7kJvGtrMYs3pdoOoF8+52qKnjIRvcF0hzHYc+bgcSa+lrp4LJYVb
NyVGv+njkEJNpQHC0h8++BVXkLv0LkfngeVNtHbdVOPWiQMCjzVO28j8MeiQuqQWxp1WFTH/FKsz
QG+0i5Pqk/GbVHe6P92ZuTY/zn4eOWkHI1TrAsk2yJprJ1NYlyIhkPjACyflL9p1r3WPdZSaq9Gc
otlJaQqxK4XtRu0hfyQDcdZmVrtTVjzpPeLNIVqUiF7XLIdjY5dU071I3HUfEUxdlOF9l8p3JgU1
c3AG64WAgLTw08kpOxCzpSg+0WBTXGVUq8dOL4k4KzD/JSEPugFy2yZw9FFGTHbry9q4MjvBcuIO
Mvr72/NFC1hF5Iw2iVLDIo4FQgZqo7fbv5xlDEyDOD+1nECI0N1qAP6Gulm9f5nLgd6f10HWBGxQ
4bW/LAJaYyG2h/kpS9NF3XLPqnRlZtkzyyVq/slaUsnSTT+Wq9RMNo0cHkKsd/iz96xUByYzdmwl
13CPbvRK9BTaaR1ciDzw6f7puBB5BdTZPOliQLn2V133mwLmt3cIY4hBZgk9T/GiOallXRG1VpKf
BugQwXS3eB/C4oMZ0QU0ZAkpogergNfD0AKIyLj4HpouKacs6fpTGeB8BWC1VRghElRasW/0PSwG
oX8UyrS4zi2eQUvcIuNhxDaBRV7E23Ocwfibu2umptZtzq7UFT24Q7wbSMDZyqEhLWbaUyREO+CT
3HOZ90bPBsZtQAluiO58SdoUQDBy1nkAQ9VIuhemUeIlrfIq1PJKw8RFr6vS7YlsF6eoMBWGiHTY
iihtQn1bzfJX/Icvo4F9UsODPhrpcZqN3jaMSdiI0hAfxZDIn3mEwcHcMiLDFOSEFAWf/E7K7qoB
uY8lBQctIxax0ct2o0v0Ogu2OAlgMMTQxCtF+Qz7BeT9zEBPUtKDL750tG1ol7EuPpkC3RpjkDZT
rD4h2wpxcdJkK4FxKYLocr5iE+M1wyrfMWoTsk3dZpqdSeOOGehLEsnhKzzNtahXmWuk4VEumEkq
TbUiiA/2lzzeZEQbEEUPb1Gfx31lNB9M6KTfPg+8kCaPA+oDsKk/v5e+IhQ5/609QWd9Uawmc+ey
T0+6UDGqa8LnoKGXC5HLkfSRaIbvvJT0yF3BP4lSdiMHzRG8tI0h+agV5iMMhnDVoHtedZ2obpnI
dNBN6CQivCfssVCzjcym7g5StMQ+gk4jmfCGkFaAoVp1G2TkpROaWLAb0J3HWoMyulrp2cy4RX+x
lulOL9G8rTP5XpcnaucJ+3QrcbwFjF1rdNzrQX/E97wdfPmLbjDMKgeWASvd6Pl451vxwSDnoiqU
W9zaPCEYISf5Vuv7YxKHtzRDbzLDIkihfTSTRLWpG0VPr4hIDKveazrcweZik+VUjJBaZufQhReB
Z8IpLeVJUoRHKewrt2oZCocGKt9ZgPE9Fp6k1mtRjLdW3nsy7gB2I1dNWtExzWFvAEMZpJ55RApy
NG3vlKE8Wea4bfAt4T98rTAV5Ya+mAKOSZe7CcRlUMgHI9dXQ0Hmq0FUbpQbjmxF1zS9ki2pQTQU
J09PQTiXFDSFHnAu4WXsBet6qNpvoJ99eu6AsjuYEG2XODpkdDloHTScB71R1pFCn9GUggyd2Uyb
lAo16cKDANsjkYaHoiDgXYiuCMO0g5DAuUTYZ+zi4RDg1k2f+rJZVQH6PVoVriSxa6b+QNQkKZV1
Vrod3VRiIZHLIbuc48Sme4UbRQoGpxFZdGdZWsVAywFkXPmmtAnyFk9ydchNTFptmwqkVy4j+tTY
qcGwL7+7TRbXM6ZgyRnI/gpLjKwNp4RUd2Il8+C+LiHPV7rmGQmAc/OUjSt9WhXqxjf6BwCidKzF
o67VtTf66iEOB/Izfd/fd3JvOA08JsfAtwwICVgFdcMGRTryON3Y1D1ViFEAQzFwuvd+LX2wtV1M
ub+v3G/e1O/DrTeiGzm0JqzVSQfhF95tc8zy0Rl7HOrDOamPEieW9/eji+n9L9e72EnlMMw5XbAy
FMVXUOT9eAPnPw8eB3Xz/oUWT+Sbg/sfe9ISm0cMoGkYjAJ/XoOGBhw4cbIjmPMJe0lElmPkywun
p9iGBaqJZOz3ZRnh2gO4hSQPm40eFwB8YmziAz/XaSThG8PF6zFXaO0p3SchKs5Esd+mlG+cepAT
y7dj0Ixu3gYrwDzPeaw+CGFa3gRd0nsaKLZ1pnV7LRZtCgtvAgzkUOKt81YxHhB23ZZEsdJJ2XUK
uBpF3s8B/eLSOg9JsK/Ztg2iSRM552USIAKYNEmlh4wAoCj1t0MJ6iodTRuJ6QtNXM1Jh+CpwgRE
tqTfAklSgg/u6s/9ll9v6sVgP9HVHJKXOZ7M8TmcP0/mBwlxH/38i41DFFJq5CCZwHTeEkBgV8r9
B4/F+0+FfvH8IX1IxEQOppMmX0WqZHObxHD6o6v4T2fCF7KB7w+5rjJ6piSVNMjkPz96o9EMIWEA
08mSkTe/tkNGTXIfjcYH38b3wLyfm1OaYhgEetH8ojSVLi40xRE277mUT5Qxr2xq7l26QiTuYVl3
HuzcftiS9nn4fBM54afReyE+8DNvdLNRtu/fVXnps/39Qf54Lt4sI5fJflYfWaUVsIy0q94VHTAL
t906uwaZ6llOCtB5zX1eSQ6pDXboWW7Ze+opf33/U2i/+xRvX/kLRUjqN6kpkyBwehy3ssdwZWVd
GTY4dTt01w+ac2Aet7ZO4Wrc5Lfa5s53IZduWPfseV0AInNpnbmWKxy6Tb5uziGQKjtwPxV2dxKd
aa1trS1Dq019n61u3//olyT2Px+Zv1eriwpakJsoLYWI59Iu7HLVfEXafCe5UKZcBixu5OWrbFes
r14PXrfVHA7s8S62rV18Qmvu+B7D4i++8+n9T/VdfXf5tb65ofrSHH2zO0RR0deGzqcKt5YdOvMm
W/t3OdhvojFscAo2Mnw7XZunaiM/00jz3r/+8vj+evm/36OL1YalRmCwPo0ncS48Yxj2s5Cc+k4s
PtiUllXlvetcrDomnLC+n9PpRE1t98OrOG4G/TP+zEokEb5cvf9b/X6N++u3ujxMChmLv1bF3QkL
Oie/mzK4/j+7wMWZTxlNnJGIvU+Jtpdj+oDWR0kFH3wxxvIivnkuhKw0c4NA5FNRnhrsDaUM5dX8
4Fv56D5dLG6NlDZxb8TtaVy+lTkF7/OvZ20iqf57oTYuHrAO2EmXN9l0GvrRifQTTGiHfIL3v44P
ni7jYlXS/UCYaM6xGzCQVa2cwXtLGGDnGFPjxIN86oPog1v32++HKEUD37aCievikiYpnH4Ztd1J
zb7VjKsVkhT19fu/1m+/njfXuHhp0sBqhCpUxxPYXfr311n2QVfhowtcLIlzko3MaKv+JLJo04xO
lPSD2/R9f3zvxb94jsOIoY+f8hxzNrCJ1tn1m+TIEQElqxN6wbmzs/37d21J03x3rVl+6zevjkT/
T2rlkD3qkcZwzqqKwciGlPMiHeZtb1/NTsl/sDUvc4j/uxbsm9ZbdvWrp+pK2XFqh+HiTa29yZ1w
/dHH++1G/uaN0C+fnKgeRMnnpZPOy0ZOqOY6Vbe55NjJWnUfcnvH4Hr/TfzM4ay+n/aDPXywesnL
8vTel3LxvfdCo4eVNVFLuL1LiuRsy7pt7VP3xjrpB2XduU/yyrdzOrarel2uTUf4YIX+6CMYF/ue
ADEZ+UfZngAn26NLZzP+oq0k19h3X8dN6WUHRvVr4VvwpDjjOjkDUv76wXPy89zxR6X99y5x8Zwk
vZKpTc6jWa/GFfm8drRUddvEueu343YbLUXLiayiBxHFdbYq18YVdme388ItgPXn1Png8yyF8S/f
yt+vu3ZxS0zBYjaUs6RUHs6stZ6642pezYdoL9mvwRaAkWNuyw1NvcPoGPceOnu+onadrG4jdykS
/iwO/t2S2f//RvfLkvFXi/eXsN/FUHToouY/zp+jpvydpYi//mZ4z2RcI1AXRY+FrOnN8F76hwKD
SMHjKxIKvMz1f1iKiPa1+Duk8ComZDCLv/VjeK/+w8RsRC6FJEJDXEzBF1LZ96SzyyP89yPFaJ0A
YZP/UVGLgrCWL85itaxoDR7i4BykCEHlfaR+1G2A5fzTNZbXyFRMfhA2Zskwvzun3i63mVSIVplS
QgaJsc3DzlqNshzXKyMbj6My6gP02qlZz9hPPIZCEDqk1tRuZZiyhWuCIT4atWExnSOh+NjVglk5
RPTo1VHXBXGkUdjRKRRLCaZIM4heUQ4iU6gwy/6bvfNoriNJsvV/efuEpRaLeYuroSUFuEkjCTC1
1vnr53MAVUWAZFWzby/umPVtszabYRMgAhHhHu7Hv7OuFdS241gxQVIE+nrgqbitQ7Na09hnFMUu
Aef19lUMWWhbYtK36nBy3Ua4uenroC5omeUZbvO3eT2H3zJMGTaGFjGFsnSB7tHCnEw9ZjaT/2ut
leBY16GZqcYt2GBQC2U1VtctlLE6qjilNEKpFoYfjVI7DceQVxiSqkXigULsqy1K5bOhs2kutcpF
F/bvrcS4q7zmtk7msyDv39tWxjChXRU4wJlnVW2uA7M6C0MGZIMgOdZqOqTBaJ8O1OtdlfHEPijw
UUAGpzJENNMRrC366HE8MbvsyDBpdUn/NN55eXjWjQQTO8EjuYRFbfq0wtxUA37HZOLkeciabCB2
TEcwCWUgXxhHawuPcz6tpvK095XtmCW7VmEOO0utehUZM3PU5boaonOqhow1GWZFHbHcznN97NfR
DWPO6TbOLcTAFDTrmQmsAAJ23oyMQoc0Qev2NDRE5Tup9tepTxq0z1QPVd3ejCVbddQiXJJa8Ev4
DQI5Ph7L6nygMrLQYsTESYs6FnlbvAhi69YypwJ1tonHcE4jDjYu6EvfxANhas8ruxff2fq4T8Zp
W6Tqo2l3D1pmuVuKi9mp4WUwaEKMYK/L3M1AUJiRxfAsdARHU068JNa2jat+TZTweLaVCxqd79pQ
2aYhTrUufgd+4jJJTGaRudd9jqVADIKz9tdUtpaZjX0lCI2tO7T6qjJYeCvH61ntP2gyr13SzQBf
/Qmc1TlyQMTF9XjCHODVzBftNeAZaL1nEzFoqXzWGzw/lfG4MOczw0fy7bwf/U+FO584Ge6JFvLy
2rHeVTP5Sz9+wYt40bUu2rosQUsyXQV+rKEHS3hUJt491hD3BowjKF/amWfmKAjNyyrcofQJl+EM
FtCaq40TKnc04t6ZlNrGgLEZKwyuzB5ZLAxQCIF9dNoyJASgi1ncXntfKuGd62bvlJJGQM7Qb1B+
053xpPKUk3FUwY/G9kkVe9vUTjtEds2KLhbol85sb8whPuHnk0reJwMqOXo5xhO9AvaNbpTxRWaO
yY5ujH5fDK7zsXELPBHHafLfZdL8H32HfvSYagBDfYQJUYvJ77NcABJf2E4MTuu0dwaRFfSlFV10
pqjO0yfdAepbOWFPeoRKpAmuiBRmkSuE6BaUBgFDj5LBD0vcZ0Tc0Jpew2amV9SL9IGGMfh33bpp
VWYRAElXq6BHKqGhmeiL6TYTEUU8oDGnuI7DBwoLG6EFv/lV1UFQdkSE4Rqpfe6LMGOcS9zS7OKL
GcT4X4Mf58gBJTKtO1WEHU08JQwaBGexiD4mUX+0xZcONUiMKsSNdfpz6ETwBLk30I3QPlzP6Ej6
uP3m1MMl0usYN2sm2rE4udfjbgPV7FMxMY/3JErRmNX2B0jabZPDYISn06BhmaYIJDeWdJX+kNnt
uC1Ru8R5f9/DUbWkyTDjKt+gkC7Rx1QJ2AT0Mhq6GSTQSN4R0vDAvB3T6SxHYdNWYJKUIf4QoOCN
0OD043jeo8kJRJyjpvZNi1rHQrUzot4pQPm7qHkGVD3aUODeN/eb3vS4LFD+8NuAWp58Qp8OGR9t
EAN9sGJFLtSiG6KAHK5DkRLFyFs0ERc1IjMKcucOhepJa9i4v6JEIhKcMmSQsH/yq0jESkUcoGtH
vgQlZmehZ+K6Afs5nhsidMpC58xF+VSjgNKgjntlD52uWJZucmmglII1s2hEOpXpyWfFVVbWEO26
FJZ41fmfVdRWpoZdnMivqFWfmOixGhFmxWZzEqPUqi37k49yq0cZbLb9rW86Kzhi86YRkVeGBbeK
6ssX+deEDkw1Y6YxUYZ5KMQqlGJUQoBjoh3rRUTmipyMXj+MYP2sQ2dm+8WpKsIzXSRoeaZqqLSQ
pcEXofwuUrUEzVquhkiBVPdSFTnbkFeVmJziBipiN0DEXyORv1UihBtKm/0i4rgJ5ObCEMEcbt7O
Sn9S0Q2Tfk7h1v/2XX529ZzQfK8h/PEx/twbJwsBbIqNBynK9y++xNJAA/jKRRy/w7Qq8b6Y1j+8
xf/pW7x5LEzsYjvp+BZqNYH0vOzKyzH+hzKG1EL+ytYkk5IfwxbJJe7W1luppY6zBlaqUXCp0nR3
HebAz8bxDjHR36+WvO7efhshbpsYoum4j715gAZFPBlO0vP2BvZU0VdsdM5h9a4z8cDUFnZTo9x/
7jr89ykhkty/fUqgAl6mP9cA81f/eEZAIeT9oAEUlAegWMz8BSgEWqAikHVhmuKU/r0fuiNuNrYA
CEw4PfBL/3pG2DwjeHSgHFaZcvjdZ8SPGl2eKZDlYL1bTPwxQvX6hDlaoKVpbRWXuotMSxfMnDZM
E6wwhIz6GGh07ZNNCpUuz3IdPFAe3mcQ68gQNi7AK4YILpyuOo4t5XJWwB4j51qmsVOcpYK/w/zx
/QQPz/UA/rgNqYWrtOseZp5d+7igt8gznlB6RexcjwHeTot6jksVSa2t8oqweBgwE3KBkXYPZMvs
tyHIjWVioa3P1TbEZR1NX4yYUQumleYG69kvSC5UC36RPWQrxcfECXuZxTSR/2NUQDN8bMdV36vv
eq1dOdh4DDot49YzaberkJWt2vpq83PCC+HrVp6QVHps1tRxYKw/j796keeuJ79AaJoRadOJDJIR
h+O0xLtSzcZ1kSvqVkXpdmpZynDmR2CEMIGgFVnH76IqIwqljOtgsnpZAFm2hBA9zBDF7O6OVwdK
t6R6J6+7soLsx9DfmTni5cGYQQfTMe9WuYIqYTDVaunVrGlSdedlyYRSMhXpBhHjtqytEyvX32dx
z9St4AgGBuFntDGOgYP3lEQPvWacB/l8MetZv+wcIDpdXH9MWyiCXSGG1eVZF7qYmas6k9QQc5R5
bJdFAsygKYhGZRsbq1S3j+PWvk78iS7/0AxMeAXrCs7KBkrP10rH8EdXG8zP4L1XyrZQM4zCo0st
7U4NMD1LKjWnVc+e8bvmqorsduEmLI1K7rU2Re5MAtvE3baqjHPHCpmN9wplWTHmwZwbqotS2dax
wuB30ZzPCVZtVk322Ln2jW7r57xfi3U9UaE2MxMpRpKLynKOFqnZMiGeqA4OHaT0QXM3emO46eP8
PDD9T1PVT5tUcbcBr+yV1arvzar6FBsVkqU0Xk1Va6O9Ca4DcmxtRKITjBdV4z1A44GJ2TesYWMf
BxUwptm2ztquuYyQwyjXReGk8+M0psnOyURZXr4HTF8B+sdfHD/x8xw92EncevdFot60Vv3gltOy
ZqyonIMNjsGrshlOvFbZ1Kp+WqThRVQUJ2PcXORFetXnqGgRCXWAsLvh2Patbzxtupj8FCZQ1CGp
YDarn291ez4PqrrBjycaNkGEH+9g2Hxfc1um4DvFsReBM/R346q27htY7shvvXc59kXIMU9rvcYe
uLWOB8xVgnK+6mZ95zPKRYDprrns0Py0K4aSUTNGlOh9LIWNpj1zxWM44e3C4O6NozlLfwpuZyyN
AH7zMgnFoVivsRY3MyffeoHGqJ44GRuU4JGnBbtKXI518TsuxPlY6dg5eanF4FTxRc5oQLgYJTtm
/q3AODkTB2UTK+U5R1mmMf86VrgsWwacP7X2nYUTl18QWEJQTMLzaHS5JlT1KisYO8VIULsEMf5o
zM64VufhsWuQVWX2eIOvApL7vP9E4rupTPXjFDnnOEdtUGuhHMXTmYS2MQGbBx/y0etWyYDLrDtt
e7+g4FFfeVF6qgL5nMVo16r8ixjLvVVkJ7sinxhLUqx3LrQ0vjOCX8+801RLRwWMFdOMGg7eZzyu
K0U/HzkGV07h3VgTNM3UxB8oRYDipPpCL2PqnoUBs9lpmS2ABNomjbn0IgadK9yJ2glljJ2ma80t
vgXe16h0bprWuElYE+KAttSDPMXf173KWn2jhphF+T3yq9JHn93PQ7Qc+ngbViTQUZzifd0qDxFf
znWxyrGs4CS1ggugXsmCB1h/aipavuYXOu0sZHRCddKyMlwFkOWYJc533ogouSMzPQZMt/QVXIow
rKSQhvjK+QShNDrmOmZoEzBUYI4bJaxu9QjHMKwJl0Fod3h8iq1W0HxFIIwTKGKp2nLmRV9VdAmQ
PTKActtZ45mpNvFSMaptxxSYlZQXvN3S41IbLoN2vFGnYo0AdyL9dU6LytspjMkgtZ+6zdDpj4nX
jYvGca55H+DLJCzWpzTiv/mUSa/iH/OpuptJnZ5AC8cP//P/tCdKlPzN79IpC1sJC5YTGRBF0Ffp
lAFIgLosFaLXZEUHagEsA6S25DiitXiVTlFN1YVBoDLBBArxN6qyiBtfpeBSl1WRTfM0Iqdz5J/y
Op3yfAVRn+uWl/kYFeDd7ZqRmVTHRiv/EAFEX1NA1cjLa+YNEuyXZqs9riztW09gXBRZNpwMMi9N
WhGvWrXbBQWzy6zHyqhxhi9ydIHimxA78ZfBr8Ek9zyE+xy+aIqB3Nqh/EXXffKuGHp6Z9Uuc46D
MbHN5zN6zu+CoMUeK/rgx8YdYTi/dIQaXAg/uBOSsEp97iQDLuybeJ0knndNNB4XIzsfrHO3CXQO
A2C/nc3piMtx2qhjvlaa8YZE5XKUg0R19KLnZFHm3Fpy1HrOXObUt3i1Ye4+FeeNHMugNbaJ6oUY
BDZfJzm6+Pf0a0eOs8G5xuX31vSmDZRFSHCg/Jq6jo577gJNC53lMA70fsV4ZKaB8nR3jDjZyG0y
IohcpTVqFMTN/tONI3ePI7dQGjEwn3ExeWV04slNxSj6eubqiuUOi+Q240raDnK/VXLTKXLnaXL7
dbOx6bgODbkXEbgyjiB1FK5MMI03RfOgc5E6fLlObtZI7thQaz6HYDSXjdy/JhdxLDcyRS9mw2zY
1nJbT3Jv21zgLhc5tfTiqso0mBPc8XD7SsZrxIJPIgCU+ztTYkLSeyuXIFFKtCAX2iUSP2wCiSoR
xSVj9wkxTdFeDYScNsUZgxBUSCzSrOiDJ9EplzjlS8TyCF0zIWyqpo86IY0U4ZMpMS4z+huSGezi
CX985xELmPSxl8iYS4ystIlBN6KmT/j0JI72Rv1Fk8jKeJ9+HJGwfApBUawrp/Os9ZQ3GFvOTGng
NFfHfXkR9IpzUgZFcz02hU7omgJclo0SgBR9CZIfdzjpLQNDYYeh/XHXGtiVWcawMvz63jNBBTNx
tTOTkm+BBrjskl09oA3oLJbYBd+oZOH8zigLbWHq07A0SufWrezTVpse07BKVlpi3aR+GJzac8+g
NDa94bDSvBipgU1VF6H1QzyX3nFbOA+Qf4KF4QK9tnqvAeHcXDNDxBLX536iuisKcOVJ4ZDUIuRd
VAm1fuwE2OEuVPRx4m+MPbYKQzChovVhcPhXzMJ0GMK16mUfdsXS7oAk+XN6WulgSWfVrhjnZnyL
6S3Hz0+GWG9WKDHvY2xvFrbdtmehqTDJCIfsUVX95K5QzZIJN5eCn5aGFHX+G52eYwzv3r+JTl3b
PtY/iUz8re8ik8zxSqVKfANkDuZP1I525IFsQC4j8zaACv/qF3pHBjOh0g8kltlvzWlhTKoqPvaa
oAv134pM7uumOJEJIS8jZYwbc1dQt38TmXqdKfpK8aZLi0fwBrVovm5IhRK0Ia5fnbpqPFrgJyxF
WVo+rM9hwLQys7ZwRZmhE9BvFKrW2Sjw3z6GkNk1cFHpkC7TyWg2utYiMRBs8NhX5bVu8nRmgBL5
OWB2DICKj56AMRUImTkpM1fqfJ1F1GN9wWgqjDgsDMiaswtiMxfYZlCC3YyKgcvHZRi24y7Bdke/
TgTT2WfYWma+tVZrEJ6KwDwBDTTHGkp8F+Q9sM8I6qepuY8DFNACGmgpWNBatZXjWFChgZemy1nw
oWpnf9J1/cYTsKgPYZQe7gCepVs1kqb6UEhVYlAlWNIx6K9VOKUZSGIPbilmdZ9UhWkYAZpG86Av
cxinpoU5egf1dC7dh1kwqDinVUtX708nQaT6AktVOhQIITYLHhzVRICqFmRVH8Kqo1TnlFo+xhFh
3REIayQ41sGavsyRfqFFaOEHt7yJcJhfqjxK3avGcJVpi2fVBIBYXHdVpiKqmgKKRmOuLBiwGzcU
ebc6TIZO8zZaPT/OrhutLac/zUcLu8rawbu94Rmfd42wlpl2ql3U/F7AM3zQzQ8lDP1OwRyvMst1
P+rWqpkefUYgyKzbpe4Hn6cp/9Y5QbFyElqErTmTAqltytsICGA9YQvMCBfGkiXooPmzW2H8p0FZ
WtKwtJe1iZkrwJnjHtxDHBfXnZqpXHIl3gYpb6UKqmWGtsjIt51mX49D8IGGrbdoswYz3DZd9Qo8
CBf4Awxf4gvTeJR3plndOWkerYsMLWsh2u6o8t6XPrC4jIc3ngan/uAyWVWhRW+t6LM6zVTA++Kz
M4ICAagZrRrFn3d+y1QHLobMIQUmr1+9o0erzSU4HpCHuELdOr7DniLC75iuO299HjJdnlD6GWeF
hEDmIEzzNFWGa1sL73OEZot8zNw1nZCzzNZ3mAu14DS8yzFvmlWq6FCYQu1YDdRmwZwgtY3BR8GU
jpcFDkHQOajnDsnXLu4+xJnxpZwYOzfhOjEe8sgldVHrQcZD3L3oGXdfA4Ksme3K+zNvaq6M0niI
TaY78EzfGen0ZYiBfev5bZSn8TKzZkxzW3XRKFawca043pQBfJLWZ9K6qK71AGejOE4e45nuw6T7
27kbqK+kir1oTIHjBmIZHFC8CqJ0rZTJh3woPuD8Q429Nz/Xavwpt5kgxQQFD7cC8zPequdd4b6P
a+WUsd0TWhoq+ai1tkPMfDHgY66tI5nUEO57yn1bTVsnLs6gT+ONjGp8EQbOx3ZmrCYJDG/Xl5j5
NBnYz4EsnMkpz7zUk4JGTQVV5+G/YfEpLFpEkV+HxbvH8HP2+cewKH/ru7BoEHcsqtnEsCcRyZ9h
0TjCsYYKOA8l3RGaxR8yGnEo5U2GJSFjcPjTGUTMP2Q0HgobmBpob3SHv/R7pl2WJj2Rv3omhEXT
tmGn8r0YtePVwlvz+w4TJuuGmvLPuOy9MGmAQOOYY6m7OM+Vky4N1hq32NISZI3fd8fjMGk80+gZ
a7130lqJvSwZTtkEMSPHSkFNIWY75lqUMtyVreOu/BroI1t2bruRYoVddMrKULr3DfPQN1MWD1u7
tn2yuIk66uiQw0OsKJ2+PieQdwsr0FHcO9qXFkdQFWvhXTnknOsY+x7m6xIMPLubSRuv4d7Y1xXG
P1RqBxCnaY6izbWzRerJW6wDijcxZkD5Klu7Y4JlT6fstNjx1zHJ6sLtogct10dinphft3nc72wx
8KS2h3mKwYBT4ufapa9DSB+7nP8fBiQ7hxn4Rcm3n8WHsHboMoLIw7VFXAp57ULmwbgQi2GI2eHJ
iKFhWxPT2lz/3DJOemqL62HR9hYjXfFNYTVLOuOnvaIikLQNxucyTvkcAvyoMVJkpBrkwpO3oqu8
K+fm1sN0EUSge2xV81U9JNPKwJiRKu3XAqPGiqb/osa6ESXVldX6d0EPIWAgDegxeaxL81jF9NFq
cN/WxQdSy02H8mfxMR7SExuryDHGM3LCPHIUF8mu9TYRtpJW7j2W4jOpmdSZYvGezBl+WsBdp7gs
5pRRNDjU5DGs1HGudHGwpNCcLQYxtcRtbVwrYnTJhCWeHk3zwe6be9eGNIdB+jqBW4CzakT3AcfM
QqwzM5VK5+jawapRx7uCX336hB+LerVd5zOORXaqFMvA7K5K4ZWpQi4jYfuKP+bHHqQZduzmxje0
h1JoZ4iY2pPc19ERQEKjUd5vbKGjgQvAypTtuu1UJnjVJ4xapNELL03jWBHGWuDiYmW4BQcBANsE
iM1Mmi+GkNk8f3DWWtwkq87GDTcHXdSoYuvgYkZdCt0twrvTDn1v4QBNhK7FGfFHDI164cL5WrU0
pPIxgIwLeuQroTteGsDkdKByIXA5O3GPFWBznQ6knazs3ONrApi5LSu4dDaAuiSzPzhedgk5kJBg
xNPKB2aXMCEIT+SxyduPzPSqPMKIm0VceuvG8epl4fHgbGNex0l5Tqd22yjZuwZ8XlIFZ22GqbwG
WC9CZ6MD2sPjnqnIAfZePY6XWarPJ66a3odw+iwbUKCtDs5xXDlnupddRDD9UoH70fjS6Zwks7zZ
UKOEQAAhAUbHHVxAHT4gtdD7VCOzdgUdaMMQNB3rQ1c3l7rABcOk8FajAAcZ7ATCIhBCwh1tpK7d
BiYKM3iu4xKr8JvB9j/MAjGEDNIg2wAjI4BDCFHM45AklfAP/bl+rASIqM/4K1eevlMFlhgKNtFj
WZc9JEUdomI7wGA2BLLYx43JiGtt7xIIjExVnZoQGaMwdNBiUAlIoTWqUBtn27jzYSeCRmEmGFNn
ZYHQ6gYl4z3SaGHp5de6YCA1eJC2121bkepUueszctdf17QufBiSfdicq09QydI9iQQz6TvZdQp3
cnQi5SSERBkJklJtxxMbRmUf4DhM79JaxhV5vZ0PyToVqOWshufolagmkI2tlDr9Fsz+XVXyopg0
atOG4DHHMH6oS+syKABnqoLQpMlOKm+D1Rzw+9i1kDYdYYHN1Xw90Y9bK4LjTLzgdjSidSecTnid
QH36jVnWJxQhSaO1MFhi6TBtjcFmfN4urI2fTR9xjBbc9mfyzWg7Ch7UhRNKMvROhxs645K1yHVU
cr25qZF+9YV7GkEajTFY381souUw27ByUEhOjvZ1hk9qBdzZI8RSG3JppdWP4CbPW4imjMmvHUGc
NhP4ZUO7L1DdoWtjDJ6uFzWLnQMdVQ0wv+7ZBMi4uLnLhQMLY2UJUnWcnLsSxip2DI9Jy0UZGXax
pgqH1I03TosgRaP4ANfGu6w90Gk69NaUfUvKbsYcFKhjvc4Yrldf10x0I7CYkTdOwWdiZ70uorBj
NJOSOzpb+9J16bgpQBK2dVN/jBLt1sKMeFlgqas57T0WrFSNuBcWDY8GnOtLZhBHDe6q+8VgsHJb
e/WGf9+XOkZumbvFQ0MpBdEQ1RP8r+cLjLSslV9WV8Q8RIf82VDCKfJynGqYQDdKpVh7Wffg2wku
kU71YIT5ZRx7uOQpPh2T3j/XkJMtzGBiOq/wepSbLebLcUcht+UG812LySSVU1ZGIFipABddsJvA
rK8d7kmF7H1Q8tupmEPUqvGnxIE0Q95sIHrdAozfkkfwO/D7W80qNbqclXMyK85x2YaE4pwGdUpq
RM97xrdL0ZpLOuKrYMq+MZhZLN2MEiz8GZL24Ew1IoA1bfnNVXLquqZ3P0DvXysVwAOqcp+TEBlV
ibBHRa90XePnxW3eeP652YfbMDItBXIK9DyUTF51UaSgeTBqidQgAOJT9TPgPa8Kn8dW/g80P17+
iT9FOf+py5Y/vSrATN0VP/Ce/6X/0R+thZ9/od9jQ5OovsrMn/5hT3Tqv/066eeW4aUH6NMGLpgO
JSuKTuiT+NAVwWY7ePljRdN18HW440Kp+/459PN//M0PSOxfrdR/cBHUt8+T318EV4w+LEaNRaT1
k0WA4efwoWLG84QF/26j/Hs/4L+yUH/7G3zbHpMe1J47gUWgOujhnvJ2C2j89EiQENgf6E8vHbY9
f3r9yOElYD2hVl4dAM05QnLo4rxmPW+OA10D7T9xF/AGhwfJLvjjR329FC7GuBhb804+hEX4vuZg
8cv5N/YAO/2vq5AGsRQCPA0TYfmw21//+HjzYTAKCYpVkM8hLAK/9dd3gfzu/o2V4Ou8Wgrc1V1q
IcbTDyrSw1dLQVTQkZjitn6Qa2BRt9p7DWSz27pGgel5O8gKvYqM0FtdClD0Zw50EfTnf9gzduPP
iP1b6YF7hDmWTkcLFYZ8WNbXi8BGYAANycPB7oTnoLXfIhhsddIgov/rn14lMuo6fl7PV8ahxkfr
OW3ZZw1Mfs8yC28wsSSft3kiKRLroKmAiQ/1NOy/EbwjTa5XByzA0+dthNANxNwOFGW5MA8yT1Sf
j+k+O8E7olRucOR/kSwjdreIoxp3xqEuwv7ponsEU95Dg/+L40CAxBLUtWh2HOoiPG/RfXaCe+Qw
ggAc8+lG4L9+cj16nsYyiILhKaE6zEOx//XI7SepAE/Ip59UjtnrSMEzmuvTxtr5UPfD3skCllEO
gkdHl5Mhnx+yRoKIahpkjYeaLOj7Hwp2gq07RMqXnfBDxoQtuMY2MA+3oPJ8Ze1zM9hHUFhsiz78
8054ezNIQQVyASregz0O+z+iCJSorKC3crLeXgaovTTHsA71HFh750p07x3c3CipvBQWf7gMdPRw
LA935oHeiDImt19VSRbBtTXT/HELmFSVNAOboJe78kDXwNj/GDyNMToOBdbnu+AnGwEDEhLrl2HL
wyuuavvnB/YRh4GHtPmyCD+5EOEEeuTMzxHoABdh7yvBoMZKfdWix/icJL0NjZp1xIQsUYPHtnwO
9mL4TxwK2i5cjupL7vz2Oc37AcETYil5aB9k0qztX2GzjuDoyUPy+df9s4KrvLI0js6BLsJL6W+f
VIkKm8UTCRnb86Fg079NFmjM4nF8sGXGlxxun0XAI4tbwVGppD19fvJ88jRLwx7hUGutwtLdL1kw
nCMPiywTDMAvdoJ6BIpLA6n4/L0OL0aI6/B+i0DGRJOVfpvxq6q7ziJA5XRfituHtwjG82W1z3Fg
JxAbTJnSePqwrK/vBHgSHsmE5z0/Mg82UO5fU0AETFte+Hu/WAq6MPyxSag80BjxktHtsx/MIyb7
dMP9I3t8my1oBBHToEnBFSqfQ90P4mOy3/1gGOSQhEvX/kX1mXY9/ADUKge7CC8V4X32A6Idmxkz
ntfPh+KHnEFFVE/5+YnkcpDZo/Fc+dhnEVwiBbIdBrF+8a7UjnhT8h9SzIM+FHuXGcgc+F2zG9yX
W/LtfqDcxtyh4+pkWE+fA70qX+rC++wK58hQoQIw6f/8k769KnUCClOY3JQHviv2T6Vk/6seRYWX
CtwPZUhyLRPJCw+sQ90P+xde5HllUYR72Q4/9CSkb42+EWve50f94eWTPzDIfl/fyKEgOeBx9atD
oR2h6dJoShxqOV4mqffMHGz0jSgcDTyYnz4/Sapty+btcbCiJnGF2XMRXOFPSwL18sb8ySIg/6NA
pz9fn4d6KMRna8+lICYCx6Z7/dKj4v3w+pGlysA+9+eLuvQAb4a9D4W0bA2NvOEPoR+/79eLoB9B
sbEt0skDjREyFrrnTjAovKgAOV/KkD/WIbk/UQFSmz/U42DufxzMI6oNUnD+dcsWL3rDpGF30Dmk
cFX33A/QNS2Ksryw/rwEXx8KMitVV2nsHWo10tw/UqB1MyBe0JH6RSKtHcE3obd5sDoG8QjbcyfQ
pUW1g/b/pS79NlxSbaBiqxJSD/V23LsCx+OS8VzVkeH4Pw7+69Ogy81BEHnpFR9enPzBEOT3M2gL
+atuo9thKeTz9oXNsxKKAS4cLzna4S2CkBX2PA0IWmwsTdBBPy/C29PAIvCHBBG6VS+LxHc8wKXY
vwzpUHVWEfDYv2pYofISrDP+6gd6M4in2Z77wT0SoDnzAb96UT0NVdkmxakDXYQf0Ca/fTPQsEKu
ANX9jzj5kwwatTSpgvZcnHtOVw/vULxo0fapvSFyMVT5MX/RwHyaEZBCw0uz9AAXYf9wKTMCGhoW
KkpPnx9a2cjjaWML2f1fPxT/wkoxeyz/q6/p4+f6//8vAAAA//8=</cx:binary>
              </cx:geoCache>
            </cx:geography>
          </cx:layoutPr>
          <cx:valueColors>
            <cx:minColor>
              <a:schemeClr val="accent4">
                <a:lumMod val="40000"/>
                <a:lumOff val="60000"/>
              </a:schemeClr>
            </cx:minColor>
            <cx:maxColor>
              <a:schemeClr val="accent4">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E69822FD-1D5B-4125-A989-DBE6AEBDB1B4}">
          <cx:tx>
            <cx:txData>
              <cx:f>_xlchart.v5.6</cx:f>
              <cx:v>Sum of Amount</cx:v>
            </cx:txData>
          </cx:tx>
          <cx:spPr>
            <a:solidFill>
              <a:schemeClr val="accent1">
                <a:lumMod val="20000"/>
                <a:lumOff val="80000"/>
              </a:schemeClr>
            </a:solidFill>
          </cx:spPr>
          <cx:dataId val="0"/>
          <cx:layoutPr>
            <cx:geography cultureLanguage="en-US" cultureRegion="US" attribution="Powered by Bing">
              <cx:geoCache provider="{E9337A44-BEBE-4D9F-B70C-5C5E7DAFC167}">
                <cx:binary>3H1pc9u4svZfSeXzSw8WgiBO3TlVA2qxvCd2tvnCUmyFO0ES3H/9bdpOjkXJOXTVqOq9UiY1sakG
m3zQ6BWN/7lv/3Ufb9bFuzaJU/2v+/bP935ZZv/64w9972+StT5JgvtCafWjPLlXyR/qx4/gfvPH
Q7FugtT7gyBs/nHvr4ty077/9//AaN5GXaj7dRmo9EO1KbqPG13Fpf7Ntb2X3q0fkiCdBbosgvsS
//neWcfBD1Wkwfr99jXy5/t5/G6mivWDeueoKi279+82aRmU3V2Xbf58vzUSef/uj/ENd5h7FwP/
ZfUAxNQ+4URYjFDx/Hn/Llap93zZwASdcCGwaTMLDR/88+ZX6wTo38TaI2Prh4diozU85OP/9w2x
9UTwav6a8kruh1cz4OEBNH++/5QG5ebh3W25Ljf6/btAq8d3V3SOGp770+3ji/pjG9F//8/oF/Dq
Rr95Afr4Pf+3S9u4/hfMYT6s602x1gfBHAuLYML5I6QIJs0Yc8tGglDT2kb7TUztR3t3iAlo7xId
Gdq36/Sd3MCUPYSIWyc2IwwTyl4RcXxiIoIsPIb7bVztx3vPGBMA30N1ZIj/FcP6+bA+gHTzExuZ
NrGt5yWdj6WbnBBOTG6B2D/pkael/A0c7Yd6PMAEnMckRwbyTby+3xQHwNg+sQUftLJ4WsHpGGN8
grhJMSK/RP4l1NP52o/0iH4C0COKI8P5rzgL0s1BcLYEZRZm5hOO9ghnLE44fBjj5liYp3K0H+HR
E01AeERxZAifVsl3FT+U/zzGJhjYNuhek4CxtW2GmSfYwhTBWv6E/jbEb2FpP8g7I0yAeYfmyICe
beJ3Vwr8vQMgjU84Mzkn+BnPHc1snhBkUtDMI9X8Jqb2Y707xASwd4mODO2/EvCqD6OgKVhYiNiw
Lm8LNYg7J0RQ9KS6R/70dIb2wzyin4DxiOLIAB4ciUsIARzCr+Inpg3iDAr6aXneEWcwtImNTWGO
QH4TU/tx3h1iAtS7REeG9tU6O4RHZZ8QAR4TJvgVaxuAtoWJmD1at6fysx/jLeoJ8G59/8iQvdyk
D+o+SA8hx+IEZFQIzp/hBWndXrIpqGVuUSpAwl+6UW9iaj/Gu0NMAHqX6MjQvlhHB7C/qDgB6wpz
BMr38bMT9yQnAjNs2XwU95zKz36Mt6gnwLv1/SND1lFxpQ+xRguQUYhYg6v8KrYI2dQSJtsW4ukc
7Ud3RD8B3xHFkSEsq/IQzhMI7xDCBiX7SiiE4BPGTAuDlt4GeDJD+/HdJp8A7zbBkaHrKEiyDfKr
y0NIsX2CBueYUsg5Dp9xvIuQE0whF8kxXHmpit/K136s944yAfK9dEeG/AKytgcxv6wTTrHFGMZP
mIuR+TXEOG0Gf/Bo5Z7O0X60R/QTcB5RHBnCl+siSP/5sBflJ4KbjDP0nJDaI9SMYtvig7i/FOrJ
DO3Hd5t8ArzbBEeG7jLepIdAF/QyQQyL3fA1rNXCxpyykVc8mZP9sG6TT4B1m+DIYD2HMqVD1IhY
JxTqQ4hpvlI0AKuyBdfA2ho5xZMZ2o/uNvkEdLcJjg3dTXEImWUnlD+a0k81XUNR11bEA8Ad7DAM
U2B7RT6fyM8r2L6kngLty+8fGbKrJNsUwTo+gL4lULFHbDak/x8/4+IAzE4Y2FsMQ4Ji+Iz8pbdw
th/nnREmYL1Dc2R4f6u+H8JhGmKXGKAUr5XygVcM4SzbtGAWvLStpvKzH+Et6gnobn3/yJC93BT3
UGnq/OOlufyEIktYtvWcLt6xmxEkoAB5zM19cjydr/0Yj+gnoDyiODKcV2l3iOwDVGciAiY0f45r
7bi/NpjRwrJse+QdTeVnP7pb1BOw3fr+kSF7ofS7v1JvE28OYUmbJ4gRQu2flvRYjDGkF00K5QKQ
mdijjt/I3H609w0yAfR9ZMeG/VrrzQFsbCjrAsUMBZrkEVSExlYYbKyw4LIJcY9tzXwxmaNXsN6m
nwLzNsWRIXy5foB9FAfQz9YJ7KKA6AZEtn4K7pYXBQgjC6LVJoY1/aXtNZ2j/QiP6CcgPKI4MoQ/
BrBTRgcPh8gZ0xNhI0bps6e86yqDlQb7aCAMMgL5TUztx3l3iAlQ7xIdGdpDlDZTB0kiP1Z0gTzb
z4v2nriIsExuE6ghePyM5Xo6Z/sR33m2CYDv0BwZ3reBjoJOVf/8Cm5CQS7FgPbPrTJj2xvSjRaU
3zNYxreRfgtP+5HeGWEC0js0x4b0OoWsslwX39cHUdjmiUnQkGd6PdNoCZuaGMpE9og3lE++jb1X
kN87zBT49xIe3xx4d1EF+t3190Bnh3C4GRRrEguD5f2q2WaBtodCkpFGH8pn38jaqzNg70DT5sBe
0iObBZcKqj0PsuCbAglIWz0L+M6WG3TCTAIlRni04E9maD/i2+QTcN4mODJ0B0GaBRvvENINyQ8M
tQaQABnntDjspqI2tn+W6480+lt42g/y7mNNAHqX6MjAvlQHqRqCoBnsevwVGx9Ks7ecb0hhwuYL
2CWLRqv4VH72Y7xFPQHere8fGbK3gGxyiMCKfWJSYcGWi+ek1k7o7FHILRNCKyMhnszRfnRHTzQB
3xHFkSF8E1fQIuef18NQzCuoxaHrzLMlPpZeCJ2BfQaKmo5q/qZztB/hEf0EhEcUR4YwrE/lpth0
B8DYOrG4xTlFr0kxPrGYBYnpcSOKt/C0H+WdESbgvENzZEhfber1QfqNgKK1CLcpeg6D76zW0IsC
vC0wqke7aqZztB/lEf0EjEcUR4bwdbGGJOYBJJlCQRH0GrGtV7ZeYGg5w2BDszUuJZrO0X6ER/QT
EB5RHBnCt+v7AtoGpQdpE2WfMA7dRiAs8hT82tHJ0CZKDH+gcnD4jMrG3sbbfrz3jDEB8z1UR4d7
+u5MrfPqUPX54DGbBIKjj589CzgRUAksxNMKvwP8m5h7DfndQSZBv0t2hNhLKIRdFw+H2f4MXWZg
YyTERZ53xY7hh9WdwOZ26Dc1crYgYvI2xl6Hfs84E9HfQ3lkE+AzrPfVgfIhxAbo0Wu77YYYioAq
YguNSs/ewNJ+zMcDTAB7THJkKA9xwAUYcPeBvlc/Be2faPDKYfccQhzKB5/U+p4cJyz8kAWle+T7
F0dTrMr9UG892K9hJgC+n/DIYP+m4kNEwW3wvaGgFHZLj8KisEsaLnAMjcV+TrKn7o9TGdkP8hb1
BGy3vn9kkMK8HfZGx4fJYUO5EZSKQgeL14rC8QmIOgZ3exQ5eyNb+3HeN8gEuPeRHRvqwaY4iJKG
/ZUWotAD8Mnr2ldHChehrMHeb51P5usVxLfpp4C9TXFsOD9Jd1H1v3TZU2nnP6GroaKUm9hEP9PT
4xwm1CNBSzlQ5+NQ2rOATeTqFaR3n2wK2rtUx4a4vz5IswuoEIe2rZCSpq/t3SInkK9GNlSrbOvq
28kcvYL0Nv0UlLcpjgzhuwq6EiUHaeALvQ9s8J4hePIUWxlXlEKiC9Z2jG0CbvfLGvG38LQf5Z0R
JuC8Q3NkSN+qeH2wcgQIkQ/prsfPDs6wcpsCVPROj/3JHO1HefREEzAeURwZwncVGN6HSIJAQwSK
4DiU576tuxsBhmDJYHqzHUmeytF+hEdPNAHhEcWxIbzx14coOwF9DDviLdis90p5MFhf0IAMTskY
ZgF8Rh703WS+XsF5m34KztsUR4bz7dBI7hC9mWHPPCUEzr95xnnHyobCBDgvBXT22O6azNF+hEdP
NAHhEcWxIVyu00DH6+oQJUYctlciaD5kvdbsE8oS0LDxlo+C23Bk1Bu4egXp3TGmoL1LdWSI30GH
MTi47J93nYdTFKBbDeQxnyu7d7LX0NsVwqGwtWO8bE9naT/W42eaAPSY5P8Ayr9nceuZh5PN/vrp
zewJi7z1iDrIP0JjTwt27Tyq3X2Wl4WhWBQ6oezbtgOHh/06We/VUM3T4X47Z9O9pN16xqdH/P1L
OcyZc6+fR/frnL/ZulzPH08IfHEk3e+vPk5tONtwRPrsku4B8VdPt9XDn++h0RBl0Jn1BbLDQFsO
7XP+7ue82CbbQIjlz/cG+MGw4W44HYHD/hto8glLc7N5vgSBUC5AgKGQDA64siBblcI5HT6cYWie
CLDMObjZwrSgEztIuFbV4yVo3Y3hZJXHMkT8eOnnk96ouPNU+uu1PP/8Lq2SGxWkpf7zPUTQs6dv
DdzCA0JJMrSphA2DsMdAgD8H1+/XH4cObPAO/l+LDK8uirS66rvIyYtKeprJwE7ki/ey5zYYwWI1
vhGDgO+wEQ0ROBJkYOTFjXBc1rkVmtkVqpj4FPm5YTkJj7v+FBwQVji0TCtzpbXb34Yk8iRke8wv
oc29b5kK7bPC68Q55kkmM16w9sbv6EfaqVrNrM7j+ryOQk3/rtvcsm8aN6/rRYiVOavNOpBWZMTX
TRhrPA+yTJG5auKqdmzDc0MZaDf9GkSdmDO7L9BMp/csNpsrbmbxtVmhLHZwFsXdQrktdeK6kkas
VSN50Ch6jWrMoos6Dq+LMmpkkqWt44sbSEBvmM4e0txbuBrd8To/TRu6ZIallgTBUxhZMBemuxDJ
nLXJyu26fEajJJjpAs/iLv/h2/7HPjOvMMl+VLS+jbGXzBuzCL/xSOmZ8KLq0uBZcZVrZp3FgbjM
RBLP+55omRoG/WGGOj01XR9dpWWezZPazWUQG2xOGvuSluJKp7qZ9cSuZ17Qk2WZ8k8dNr7GxM9n
KvRZIcvSI1xWlPgwLdxkDjH7YA5NQWCIkixwZBWfCrOk7cyyU/+j9mpjXnFczEWL2q9mHHTwFokq
pY6qYmYaRTcLWf8xt0r7zAfBufr9HCMgm+MpBhudoMvbcCINhWm9PcXyrsg9r7WLKz1P1k0h8W1/
y6Uhc6c8TU9dLP2ZN0+WfF7MU8nOzAWdk1PXif7LXGcg0S/4sKGaDM6vglwWNCRDyIQuoNt8sLZo
Kk/76sol3lkX+60Tebkrs8Yk0uaRmOe1SxcFsYpAuja69HjhnmHAyIryxOl4dyVc1Emb9H+XrRIL
TdxkASfALly7/5szl8nQNXzp9u2XPM64JEXeOVyHdNY2LpHYDxPJ/HbeUbFscOqEbu/kpu3KnonT
nmLZEbKELolY5mUBk0KYTp2kp2FrzhQ1C6lQNm8a74K4kS+jNMCzOgtkkoR6BkJ81bSCLnMvjKSm
3ievUaeYJpdVayNp2NkSRTDRuMjNRYXC299DvL2IwJuFih0Lzi0YCm8p7HAeLSKiJ43IEre4QnUS
LmEhiOHhUeoYgT9nKjClmXvr399yCFpuozm65whNo615UUeevso9+o25hdNWnpr1mp+aSXWpchdJ
zyoyyfPcYbEuJTPT7qIvKl/aBrtQgf0VBTqXtTZ+uJG5yPL8kijrA3L7e+blfydNkM/yNM/OHxl/
1pU3L5f6e5V1ReD5z2f2/vrx33cqgf8ez3v9zy+HI3//89Nyo4ZsuR5/abjPr2/958zYQQf+OkB2
pFmfzg3+qYzecvF1nfxStzLo2/kCvB11/NKyebKKHnXcI9UvbQylYUPfIgQHUjHowAwD/tTGBPZS
DwXf4GPZYJkNJ9w8a2MTIp142JgF0iwEnHUFEv9TG5MT6KQBZ+ZAuhKyHoOi/vkCtiACO+T555fa
GA9L1LY6hkgMnNZgQdCVQvniaIKXPVVZXlXtFWgLMa8b18+koiGPnIg39QfLYN1Z2NZpNEcoKr+V
yqw/RaZuc6lFmn958fb2cbMtboNxAO9CQM9U6MYGx28ObsZLnQ3zOIuEX9VXJE/xlRf1qSsrrizf
aetSCVk3ZvWN15kRyCKxy9zJwwJUtwvCYTqwjy19EGWJrmEMv5qROMafembYeNlZzN3gzsDt4vcc
71EBsPsCegMKIhiHU+bQiOOA+4BtV17RlnnezGr7+FMNxhddlLxTTNZdi8NZwF1b9tzqAtlFiC6T
uujwrKhV+eC3WmMnMDI203Bgdi3LxEe1hKUm8uYeqMWbqBJniRa+nkEOTHzWfn4exQ1r54E2rMug
8Otk+fun2oUBzr1E0AATTlGD/Z6PD/3CdOKd4TVGFmtQ5K74rDwbE2lGBKZGllbtTdMW4jZzcfz1
97cdm4bQvAvMVU7hCApoc03owNaL2zLUemamvfQqtXt8hSO/ukp14QS263/+/Z22FSZDw50EHNfL
oXMUNP+zR/MsS82uzwtQmHaGzHXeqCJeuqXdERll/hzlVdw7FHW2ckLKmuS/TZphUrwUOnhKMvSr
M+FwaDiccHx7sCUC30uT4IrnEVsnYcXWUTzwwPpEz61CKdkhgH7ZxHlDZB4pviljoVeN6MyL1qIF
cmgTqsgJeZp8okVG6My3u26TGXU2Q0afcIcJZRanjFp99V/sjaFn/Jh/Piwb0OIBzsCFGqltoJBV
sZQx17jElZusg6LUYD4bUZmaknZd6p01fhB992yRXbR97i8sZbaBQ3DNf5S875XT+R53TBXWm6Cg
/KFmmc/Pfg+xObKKAGRqUphEQywDziZifNCzL6aTVdgBKvySXoZmnrnCnpXC75dt2VKxKOuqcoo2
Rx/qpGOV9H2fOwVOl5oU2TI2M+JEcZ58zGKWtJLHjfelCRO16nRZyozl2SdLR/bMzVPXqVQYBjIo
adhIF2zgqyYz9HVu9HTueViE0ujdNHFI7SenzCrjjyT0brwupa2MK55flW5+V5LEoDOrJvAig47A
2mBWfS9RY4cXsc/sby6qzDPfsvFF77W1cBrkmwkcktIFK8MuukQ2nd3PcMOMWR+295nOy9sKGdyX
TVJy8AnyamW6hNzlPm6ipcsNHMjej9zvUCZV1DJIc+PvKuHJLMs0WUUqzVY4F/FDUGcWyD1NottA
uC2XdW56Z4VbVE4H72EJnqO4zpuknZtNkS8wbnE9j+HwCc+pG8/OnZr47jzRtJhVmbj2XcNDM4xV
eQqqhjROikJL2iWPv7YJ8s9JIbJbRku2rERokIW2kn5tW6qYa9SG/aKObG9htC1aEx03P7SXZczp
SYkqmXqk9hZtGSoQjqaZd15d2YtCuf4sLmlymsJXJSigAly4Oqm5DHUYGg53Gy65Ym0vzTJ2wS80
0mRZWNHcM6sOfWgoNmeBLlAsQ5hJ5YKWjdDLlvL2wor6PnY/VE1eJonsgrhLiwff9Qnpv+nGaHni
S1HAUq7uSZeEJS3g4JOqytBVGZVJ1J6JIO+XtahKd5UUQZDJkMTqFnGDrsKO0sqpAANXdjkSLcCV
2PYsdV3Qh2UcNTnY742HnCIusXvt58ji6jTqeOPPujYW5YWlSwozqnEV1o1TgS5cWIYfutc1iI7l
Obmd2TDhaKSTRRoHhZBxDsrLnbd1YDmGC9EkJjsXpSacZeImCXiaVeMumpjHyVy7YBUsWOolvWP3
DFbMlERm5SR+YcRgfHaevtGBkSRz5QX2D6OqeYBmSJFyGZh2ZV8xw/Xcs5TykrPQSVud992phjZC
hT/PPJ8nc1fXfb4QhU6DRRdbSXeKtE4yh5EuDhzesi5eFkEeGA7ASr4YWdLjGbQhi5IZ/EXGdRwi
Q8MrT9MvYZKIZEULUcbzyC+tj31VUroIDUXwud/4mqeS+8Qvl25RZ+ktKGN6Fno9iRZVBhzMVRl7
/dzGbS8cO+yy5jKxO5jaBohKMXMxrs4Kylg881zqVTOe1gBnwDXYJ2kf0n4TR7Bhe2YDA8mMdomf
rzAKzFMv4JHlkCjK6SxQgTvrKzdi0miKTNyEbhOaDg3ysAdfP+yNc+TG5gJnrseAXcGzOe78Xq38
ADfePBKm38jhexKLQKQwfTyaO20TGL0s28D4u4AGrZ0hA5AjcoX7NOgDademQe+6uCHVlZWJTs1S
kZeXrEpBJXmaR0AgEgpvyw18nH7rcZz6Z3mXxO1CN6wPznHplXdmSNiatW7iShvD5F1UacvpXFt9
AMxXOExmMc0j7diNOw9wkH+LmwYsi9AL61uIKTTfs8KnpzVvPHduRwwRmdoujMNiFbaLtKjxVd9m
1PygS4bvcGnANxrL0LZT4o6385okYXBatIQ0q5R7mlwHBhefU5QPkzMMc73ksfb1TduZpe2gvAFs
/CYFxpSGRfccNJj4TG0EszuBVbKYQefgVq1KLVxyExZVFH0kdirMVWuGTXVZtuVgfPpde8Miw2oh
zJPArZXq+1q2JCl78E358PAD6w2sT8BXluArk6XwFFXO4FX5kYp6R0Q1iE4We1HwIS04iHxRgVXg
wTVYU0mZ+tc5NrsilTTzEcDdFG11mRh+pmWAqrxdtLCFmM67OifDogHC5MATwQLSCjzYyWWafHYJ
FWd2HQS2tH0WwbzoPGvdpBTYaIuw+0jLFulzD8zc8FxlaRTe2qAtljpF+CoXXv7NRMTKpW/6ATlT
tieqc9dXXj3rCp43YOB2dJkReK0O4nl3H8URu2krjdRpjro6+tJYiadPE9dIfnS9GNaQII/9GfgB
Np0HpPP1IrMS8cVAEH9ImswDv96EZa4rGv9joEp9LpIoZDNGCuLBsgdhGVn7RHwuQqP25jFJQUx6
w6ViZaYK55sEFuTuDM7XANlohhV7HjID3mhb9/UclEyTn+OiIpbjCggXgqalNQLTOw//LkQt7owO
zPSzXpQFfih12mmZQMS1XgUNgaHaBPu9Yzae5a0ygKVxjEhYi17VdXnZdjy+DWtww22uwXFva3ba
NxaAEyGs+2UWR0pdplZrXhglMtXcz9OkPve6JvMdm+nEvwNLRD8gkcIyAkunrmXk60ZL0dR2Dlqg
y29jL8fBV6x6ateyBwus+5SV1BAwmHaLuc+NyDsz3Kz57nvIqJ2YaytaBRAI/tBqw+2XRZXrYB70
FUzSgJQhvWmjuGdXiZXFscyzGlmXJvbN1unAutHzxs8AtcZOA08WPU9g7dA6nuOWtsWsjoldLHs7
h9kfma3HZ53bIe24mbbyLw3r8F3oFzDXQNOJzzDXE32TihTDAksyES7sxLca2VbfiF01NpZRVPNP
jKR5M2uYV5qXphvb9cfc1aIA5Q4zep4FFNAEx6FrLwJaRuqCF5lPb0iLYmvlQiwLnqttDe8yKoys
mSXahTUDrLGqvIxjF/gvROQttG9H/qxpEVp1uQly31kWDyTEMvnlo1X6T8dILoP7Qmn1oxwHSV7G
SP79/3kkZU92Y0g7/fEzXLETTnk6RfllAOYpJzJQ/QynDP1g4UQVwmwTWtPAOZMvwimQjCZQDDp0
nqSYgNPyM7dhn0AHGwSVR0Pq8ikj8jOaAi1wMOzbBE8Q6oGhqx1/SzSFPrr7Lz076KYDGTZwYyGR
BgduDYVqL30OlbE+Yp2rr1FM7yBsfks0O09M/SFqs1A2temfeQhMcmyehl0XzpIochdubTVO2Vau
RHkGS17XVDNQ0h+R2feOn3EsG7O0pO7xhxLl4IoLGCvlyp/HYYZXwiuIzPz4tuBpKPtU2RKr9tLI
kZJJGmZO09eGY7TMnYGpFc7jmhiyKJv8CqXJHbSfYJe87tOLkJBSKovk0nO1NycxX5paeGAeqMax
fN+TfZHe+alNZ7EBGQVU6FWeMQgSl95cR6DJuZlswN/7DLayIWPCThU1bo0+wtLN9WU/qMWeed8h
FhbKnFWdU6hmnharEF9gjz7U/rqgTim8U6Vcb9bUFfi+fRXCG4niWRq30Yz0OptnXbhuepXJtiwe
qrI5w2XWSIHggYraXenCvukgUyG7dG70F1WJz1rT/puF1kqh0JSiY2gmOLsovOImSNpWmrUNUa8W
X0OCIZYequbYRgAJ5VqWnqdXvDCRBAv4I/Ea84Mw/PuWpB90aoMCjGnsBNjHC5IrIjWv8YJaRTXP
XFXO46gIZ27UYFkg+4IE/qqrIGrMCn8W2unHNtKhRH2F5zkFl93WXSctAb4UxKTzuZeX9a1XIuq4
WHzxDBVKFWTLHIVnOuJ3pujX2PDSZdJFskTlPKx9MVPEj8BdK3yZmdlpg2riWGV+Bke6asAvXwqa
hE7k4hTdZGaZ3tpuDjcutMwidd2bxX2gGrUitXEDE3wtVKBkEXrpmR/hr0VeXxbgA8wM24SgVkM3
bVNtat51C122mcy17Z6CWf49ARGVClhxosCKFkFT3TLi6fPERmd1GH7LenHe57h3mPKXqjEu8q7L
pEY2WpQe5E1U5Day0PqqDHsQn/rO99zvuc/t05SCIxQaya3bUx+MrOpLTvkqykvv1GbqDHqgxlJ1
VrKwdbqyPPap8JF/VpepJaOwv4Uxm4u8ZjXYRUrNSwikO482cF2AM4PFAF5LOwdZrjXDrvlFq7Bw
6r6qpNZpeqZJ1Tqtwbn0uyCXsY5Lp2+1+uoh1ztNfb+4CS0mZEPzWZt2eGFXyWfIq4TSK30wO0Is
NVEBAJSlczcOKzCBogCkvSQrHShfqtDyZwWpVqi30Sq3/RXHbry0gBeZW7STsCyW0gbVqcOylyqH
lFuZn4aGNQtVX4KLWoZgRxoYJM0sHTCRW9mZPof8HSRTTAxODvzDMNlN6AmpdP0Jt+E5K6ozRSEN
ZBa3NYeUY6+TpW+4kUwTt5dphK/qtvoUKJbKuPNvErP6EHnNZztqL3XSf9UuWGIRhGhlosLPEMY4
M1t02ml9V9oWknmVIomUolLE7UWk8zlHhVokna0hndJeugX9EKVdPG8bPOckOyNVlcpOVz9M5v4d
ePgaYkVXENq6yUOeO3atv7sua2UV9V9jX1PIwtj2HOz4v3XCQb93ri9Lkt0p3zxvjUzN6xhmDcQy
u+gzrUJ2GphWSpdQakzmvgIvnAVqdhBF/39PhQ+Vua+r8J+177tK/LGid/2rDAELKDeBQoOhEGDY
jvUrJwId/eEgQyg2IKYFh0xD5PY/WhwKzcD7wsQS8JVBwf/U4lCnBr8YUqDDrh+oSXyLFoes6VZ8
c9gDBvvEIN8H3UtNkz7WQrzU4rhmRWKoJLnumQ8rJwYFAaH8NkpnfRqqRQ0dmSAjGl9Cxh4iINQ8
RRVeBll57VfGKo3DmWjIhxQbTkXxWaOzdVSZ31wdO1EKnkGPLzxhnva+VcjIUJ3jQ82B7uIPtetG
cytJ1gJZlmP6XS7duMqcHjfxedLFRMbgAoDwl+kXRf3zqlL2BXhvN7YfxVIogcAFMxwwab9D3mZB
XXzjt+o6K1gowcD+2uDakiq1rm2WQ3qkikBmcRNcV5Z6sBRoF9b6sJz53HIgPoBXrLMvypKvqJvc
0a7ddGZ/qU3xPXb1XdNBJUQYe0tlVecW66lUtXXNFD+LIU4ihc8+UQNikar8u/Gtha4hxlhgI5eN
sG9MUZzHiboOm+gqbMJFZmAIo7ImgHg2WA64ML6IBDKcqodgNgsv/KKH6FfWnVMRlauUxblMoh4v
fNCVCyMUf0Og7YbV1YVZ2eoqyz8gRRdJFMw7jq+hz+Wiou3HDoNTPkRqaYHXFPsO1CZ8rU33C6Sk
FlYFK7yoG3ZK4+R70FWfMgPRWdJXkYQF8qqr4dXlUfUBtW4705GVfM7NldVpu5Sl7SlJc15fgee8
cBs3kwlEM5yuqm/9LpzDv4NFYOl4Vubp5wrYcHMw7KLAAMujUUsWQL6nsLGjUHee14ADhCUhOons
GBQDJLk7KD0JbHXeNO4DhLKhhMSy7kxlfTQIp45RWhciUZAoY9wHczGPJeSEPhrMXbGwNC+YKkFR
5uGd7ab3UE8BrmPyIfGjhzAtPnsCAqdQyNs4HjzUKSR1GkcYkKxyVes5nJAFNcsWwliuE6sgWmRB
NesFxLH7aInM+jQiNJ5DTqibE11tbMay2f+yd2bNkePKkv5FOMYFBMHHyyVX7SqVpHqhSVUSCO4L
SCy//npWTff0Mueatdm8jM3ppzappU5lkoEI98+DlE0b5v/xZRi6IvHH9qqK8G5P7SIzMTid9sZf
0nCZDdx79LbO2CGFSzNeOzs/Ta55KMeVZ9SrAQZIHGTSQPXs1n5N23k4e4Npr/wOQyNfXiSLrxDi
fei3AXqgTLqM+M7t0fVCDi5nvUsgs8PPDL6N/fTIN3zwkRa5jRyooPJHuRHohVv0kIz8AcrmQYc9
KI6yPMYN4WmEiz6FSbszjrcXd4CmgWjQKelZp/U0bxlx9k2EbsmihYisxTuaKjKf1EZyr2GQ5tCF
+m0nbwEZ7MG8dIVtHkgNYgLH+SbcG0b2N7WxL9D0vzStnwNquGuCoMm0cDTTQVinoSRfLSd9qtq4
qJzaVXZjJykhuIy+ivCxb1AYiX3D52pPdImKYRxpCn0vzANCPwKzXLceuTae6gvJ0RR71r0NTh7s
qKJsgKyKjwsig9Voa+w8rCkknMcu1kM2LcrfAypJMjw1Hq9na/tcr7gC8fXPoDU2tRG0qobKOOUt
eZhW72PpcElQ1snTEMdP4zzdLG21pUDMPsbRu42J3i21YSkJWlr0Og52zK93lefmq9L39qan+LTx
jp+nHn900+NqgoD7Srt22A0ENRhqcpJt20zRiohDSZk5DL59m5gc9glKI23kbgpXklUVvXaqul3a
EHwK3NvcyvARPo5OBR3upsXb1zP9MjrUysF/9MUUZIPjM1qV+E2I8TSy6gRNW+ZaeiyNvPWJMOdn
ZS0njF5bnc4RLupmKV835l5nNT1UCxUH0ZLDWPtr0aHAwVRYH0fud/nc4PMNyZDzcNaZjss+Fd38
Xs8tSsWYDRXckdntxVR1aUCXL7bUX5tAPc/TZeJq1mc0/N7BD7SfA8quzm6pt1xCyYOd1nbpICab
tn54nJf6sWfh3o3rgNnDf9WN8dB51RBSkxo2eRNARWQwJoKvG7vXy8mVL1qeaRXe9zUEq4h9RYf9
JMMOH02v9qwfbgI8TQJ9pb8c4Nd8+Cj0UH2SO/gEuLUpKQ8ABdo0htZbtLFcU0nB9iT6ahnbhy0J
MBW0KL/SFs76j33EztVgoc2I9TlWFjPQpE6TutmYTVW0ylTE4o7aUObtkMh9MM11Fs3y2bdu37Zz
fdUTlH9H5uvExmS32bWBLWMw/fphmC4jx6cFfAwK4ilKOMkWxiuHqVgkU2qBlx2oGT647Kpr3auU
jgIVO36uh07vZyUh/Sh4ETd+5cmsWvA5x9axg+CqkLLMMCgup1K55NYP5+HWc8QdykXR4xZXN+1c
cf62Umv3zpgA9ZhPBQ6PepcAzesi/zoYoyOq0YmVuHSgcmAUJy4nMw2/ynhEhdgmkdKFHKqJ3lC6
XMYK7yO03kdpMTtbTIy2MgfrkbzjcR40Hv50vMYl9Ie8Me13IxvQZqIC91cH6HpDlAfBXirTbXvr
q7rQU1VM/jKksKl2bCMyw9MPzwJv9viuvJNPy4emjA+E6OBGzvFtOJoyk2vnwxP1nvD24xT324/R
1CcYljEAI3M/L2xfQwzMozDud73xmszO3pjLFiSXP+mXXhmQTO1jRG3O2uipS6Y7O9UqZa45asp2
s2zvNtwn6TKYHSb6L/FAv6O43qlE91lb4RKQbHrwybxDgfP3QBNxZPuAFKpAprHzDz1TQZrU3W2c
zDZtymotZNLYYjZQT1D327xirkpnBlzPtBiQGYV6PgRvbgkw12i9j2WN4szZDaKuL/MM+zpu42zo
SOFLk0Wav+Jo2W06eMAofMade4iDy3yjq6cRykRWy/Za+zhqG/9KlgriwPAcjf6LLmF7RH38vATm
ejDxlmmZEMyx/pgmkfjaWTBlPmmPTp5mOl8bIXajDpp8lfy+ikac0YQ9reN27UyVer18b2l0mhq/
xcdurzbD1wO0alX0hl13Pu8z1qEQkmrvRZLlU0QPzRBcac+d1zkMMxG5OWOOPde66+7C0nO5UJxc
TKcg3yrq0m1NIBzRIEyjrrfZCMCmAK56WMBX5rNXv8caPQw36108LhilwLLsRbIsV90022wK9bmt
Y46iVO6btiT7pNM1es5S4eaKWu7oF6bIicm427NqOCbotsa0HUOYwW5LmPyFLPzf1l3/3xvHLgLo
vx/Hfj0G7e/D2OWnflNUsaAK5CjGnQCgzy/U7PdhzEdeE1/mgCBDIGJQdH8D1Px/+RweMfA1PKEN
tA4k2t+GsQRq6yUDCOEQEBf2avyTYcyPLpLpnyRViLbg0iIEBgGFAZ36s6SKC/EywjN9a3W4oAPa
Styja5zYXFhQmG1QnpVrBLyvetuar/7qEwAGHpfqODrppQZnc3O12ES7ojaBckWjx35ADetDFn03
TMcdrry5dJCDZmlTYeaDYb5IPhOv89UjZIxl3uFYoGVeWucS1MlBY3iDQEJcMTERuDGdGw0qzQ0+
BS+yCuMXXSBmV2CPUAf9k4djrtbG369ew/l+3gSNnlqfYDaKw/koA3+E3cmoOgDhsQdoUGv9qUNu
dqLmzgNJUneqCJPEO1SNubg6vH2XZc8g7GifpHa0W0HamaVbh2YsqUDSeh1aTcyy0fsWLVXqXBfu
lWdB8kaToPvIVp9MEwqRmH/WfUuBngH5jkd8byQYlMi2znsTD/pciXE5c38Dli07jKEKR1Q7k/4d
UniD1k7BM+mCrYHKSTx0pD6oAiu9A59plcpS928+bx1K/SBOI/AAnO2ov63xkz0f+48mdtE+bENR
jNVG98ugZOEtF8lOQK+m0dreNd66ZBOs127cgrSbJl1wgqFc8PCjWshwiOYGl8XWhmkn6FTMg4hT
j5H3sYEwx1y7Zn4y8H01z5+xLkv4lLJK4w4WXa7B+uNvCuI9RpYFapBXo3Ou6mu85i4VAxtOjd5w
AtZejvgU5NtY2/skKaO9TjDkLGsVpfB+myKcKU/1Wm5F7yDKdzx8aXu0W2KqYZhdRGTAJiIdEENI
1bhN6QrWcu+3bLoXdvJTI7S6jyVmZbRJk585a5vjMgTtzgEAKRYo8elCzVgYP4Yi2UFJK03fHHy0
HdlU1t3hPyqWd4nZeJB8/n3ZzLDQ++ceIuws+XvxvPzsb8UTq8Cg76CpTHwfZepC8v1ePIN/IXyC
7SS/jKU/Zm3wNFrvktDBI01jVNBLePK34olNc4gT4NEb7JdX9Y+ULECFfy2ecLTgSOF34iHIgGDw
+v6oZCVd7JIecvdtu0lwWNk8Dd4J9x099Q7YWlaz7snWAtaNIVe8x8hYR92W6prlVY9bGe3iFyPU
ueHmcfPMlS1h3YzQXVJYtPDapQPCpL7qDsmLLjyi2UjDthzSiS+3ozEnNq4sM910lK5FWmVZACNB
dy7jxOzRiHyGXKhML1OfeojEZPBzg2JuIBM5Dpy/rqEDtFAokqV6tQyq7tJSWyTKdrk3j18oZJuU
riTIAMtm4ei8zGr08wIz49yXz23i5ypg8JkujanU7wxyTl1OXY7nun+HliyzjckXBlwiBeR7DA0H
O4HyCSjohaEM8nh0WanDXcVnAs2iOwRsi/Jt4IfFdF1u6TaDpTHvdijfO2VuvaGa0gigtPQSmXW0
2TeNOXLQnjvf6BnILxlSLsYfAoGl3Pj9yzhAnQurLczLVX2wMnA3C0QBOUbleY0kqMQo6NJKsIL0
3H8IlhjJFjBtmYyguQ+LQeRCN2c/mrZXnmxziJoyqx3YyszRWBa0jIdda0Mva4G4FbyqEB9I3JCu
Qb9cW4+bvAGOvOOwlvKyJTZTsElhvjRVQSS4O+vJsui9RZ6lN7R7nmj1GESb+wpbscoH7zL/L613
DdMl3jndNK/DDANAxjF72Zaue1hmf7qrWCCP3J/N1ZSUYb7ZdjiBJUELTyitr3BEjBeUylyts4PQ
6TqvfDdcEg7vn0zHPvDumyHxi6rS45Nn8cbvSwDk36D+iU/KWwzbSQAcSNm1wAGb2Q4+5lKjc94g
AaTLDEhpCa6VdXjXdTEhbbL00yt4siQj03ozV70+lKUyu9jb4CyEiMHEEXQLVNsbqgK1mzoP8uSs
MDolZzB4Im1aiTM7dBdwM4E2TDHgDz6XeYx+fjesYTUWgXyMwx6YJHyw6wG7L87NKravCUi+I8NG
HTQRXrknvHfZQuZPE5TkANArN9zKX0Tsf3rgS+7q3xfz/5UT/nsdv/zY73X8UqyZh30FHnhVPCf8
D3U8xCaDMAojtKZ/gArw3EOwBAmsfgxBqP+Xx6j8VsTRUeNxpshngI/8uTf0n3TASG3+tYgjGZVw
8OrgLaHaXSKifyziwFENm6alu+v9kdJreJAlcgSr9LoIvLUOktSYbeNpG4/fp6375gZX7Q3pH6HL
VGkYv9tNA6lcxWEGVzWNEloiB6i40vjGU/6UkXqFazoaCtk32fJI2GoXjAwX5yhuCGxAyG1wBupy
uF2s+kFYM6ZRon/QkQBcgjC0JtBGBy7Phro2DZP6mozT3ewNUT5UobsBb7nlqsT3Yjv/IAOMwnmd
3zepdq5r7N4L+DsxEPS18nEUiUMcq5veNRMgoKpEu6pfNSdPrbJtVjf+YxipFwH3DhYe4Xscz+xW
wPotkKZRaD+bGdKreItjN+yXaNtSnsz3Uga3A4U6XrngEekbcGyrvDeBd+q86IOqbg9Z7m2hEMIC
RFNnQjLDgzOAUfzXyaHz5pc1lMfBrCzvG/EyLOwlqd9DPeQeDb8vSfJ9Dpbb2cnnaDDfG8q7HEEH
l0NPuyN4sVAL9aGrJOZ+IMbg1Faxs418XGR4s47kxoVTmdUeaooN0MZGE+9ARoAgi3xUMO3ROxLB
CALaJdKIgFfHkHGuKyb2NVnZbhLtdQUBtuCLAZ1OToGe5jSJ1YkPkIe8pLsdLU0y20z8OI99sLdK
7/lWY56Xa5WNtuX7Jq7mvPa6rWBbaYpohY/vt/hubIPDDMe35PGulesd81Ycdj2YN5JM+5n2mQGv
k4qmOQaRaIBmaKhY2oFn8OZjRxC4nQNS7nGjlZketjNwxZsKH8UF4nivyfyAg/UONPNR1LHJWFDv
aT08dYoeEt9AB3bsSUF48jrxFfPBBzK/JGtcMKTRCjdum5IKXrt7gYA55gIWchmPz2Rdl7xd9BNJ
1JjhRxFXbclUhFvzaElgizAA2w4Y/bNbSJfJYbymNrltqBWpsgbhyUFfrWbTheEw0mLdCdwrM4fV
LoOsbJKDVuhAmnA2b6pE1faWsczDeUGv0NTPa5PHrXwKFWQansi4wL2WU7qtGXh3te8XBZ1Oz+PB
+AG488E7X6hiCm0zB8ga5o6Qe7vVVWH7yeVx0N3IHkKVJQYGXRhCThPuArm9NQgyXK61RxqeiP1s
vKlLiZgfhngp4GHUOdINiNEOXzGzf3q+hxYupp+z816TJbnydHszWvsIDDNOYWRUBYPAmNoOcva6
vLUUQ5C0Rz64E12TixECORnXXg34j2Yzt5/BMn8TZD3rQd23I7mGHAnoo1e5Ax8QJpvJfA/DYdQj
zFKvDSbEpEKHptTnCD4cc6AO8tbEb3Kav8Uo0ZAACcbKASkzozk7qRUS8YIkFywW+oKqO6XMAlnZ
WvZdQadAdjuQEMX5GWeo2YtlXXeV207QPrcsmMUDq8xbLSMBJgaBSDWBWRyF8rOFTgfWQSCrpMtU
ZR4VnNHM1H3RmkrnUyODou+jGTfdgFuCs+t2lnUxmPJmaMM+o2tpspiIx7Kkt8OYPCYlPYTG8oz1
IA5W28LMGm8QA5l2ENjal1nDMCj1dkVAuWVre7mxo/o5ZiGE0E3DTU40zURQvZt+YOlKJdTG/oSC
/mDpsIGj7WA/Buv9SDEGywi9aAQ5AUI14hZLiNGUDV9KDlynhF/TTO3VUm33aBX7NEBIt5ThgqzD
7Be9aPGz2/YYsZofXL++g3RBow0dJA16gDusnkgmHPlMLtCIqmaJ1o/cAx9/ZyHu7amN0Zx3ENdb
qJVw21x/42FAT+dhevF5V2bIU7VpZ2H1hIEe0grOfj6gZkdj7+1q6aldq4b3NZHPw4gLSZf9zkKB
SX185ECJujnTYQiyyXhiB9Mf7ynchmMY6kMiKNIWFW1w0yCRuyKTWNnmXuNMzFTNB7wxUMmx5wSe
HLG43BCCzlfEPWBSbfJqJE7nDa2vLQmHy0QO99PTOiUNe4qU3YOR/xENF0Jm/DA+ft1C6xfGlEz1
jNGErf0VOMPpJo7cNc5/6D1xf8AuhqOCjJRRG1xaUG94mdq6PS5uegoD3PhtHz4TS2+VVD/01O6S
sn7CYe+dYQ33Kc5/AEDiNpbTl8Q1h5AsiPxXaEXbFY6cpehOozCNLxDysFGNlxJtUCPi79IMcAKg
d2TTMLqdHfiDX3ZTEUUVRfLA9MU4AnTd2rU8erN9YwQXg6q2YNc0/IvpIeDwkpykEG9zHeeigT5k
6nE/TAN+Ph7vhmbz0yHxREH86PuI1PZuVRIsOAalemJ33sq+DpTty7E1ByfCz9rTMWqsDyMxQJaD
mx4RsBi9rkJoCuaaxeVX++qSdEoA+PmvbNmAHsGvx/6BLp0JqjbWLYi8BgqZMVK/eX1w3UiN2Iss
62zaxrPcWrzVat5bB3B+DZEggbJ2qIUyCAzCNvVU0KRTUPYZCK62wDOLf1QCjvvExbzbfMxDQ7dt
mF9sBsj+UlXZc8eFnwpRRlk3kS/VrJ/mJBnSXiYZNjhcrYsPwWnlCmb5MOUBrR4xK0GCadVxFdCn
Oi95ov16J1qdZOGidNGNZM0mhvsp3NTOCNLCsOmPBJ0Tbsjag8W7vI+iuzMBznO8WzhC6sPEQB+6
SX7oER7zyD6ZR76QEAGvuIN30CTNZwxCHAnX4Ptm5zPypzq1cfR92eL9xLH7oBf+qezDPk/cRjPD
mmfRdRDQzBxkHCM5/L0dkDqPiys0BjTlFHOpv9anMZr9bMTkfRPI4VhOcFk5b14FiUA16PqLP/M+
HVfyEHcJSwNE4miinw16rpRVkEHVOPTFpEKBdNgKW62Z8OfQCaC4nmkxDPTMp+GOc3j+TTy1Ge67
TzwZq0PUDUi9aMKdt60v44Zbt5r9+1b0c4Zr4TpkEu5GBCZgbcZHJvEZIWMWor00qNNzf23o3O9m
Rk8+V9/rzi6ZL9XzZCrUoNV7cq08Gdt+CSjpcr2gpMbe+7Y5XPzQgdNExTrHOHY1QurtPcNTD1E/
lEMwtIrVHwl642pj8IxM/+G6+QRZBUzf7I5BgG0edZ2DrH0at7HJFnR5iMygz5xwZVaJhqzYSrzI
Nd57Zv5kFVq6eDCvYYeeD0QgQJT6ZY37Y1mWedX0byVv3mu13lI6nTqp/Fx0BpBwj5MynA52ih9M
5Rcm6hA+mYZHsySHkSbHBNk/sKF3yHRnVvrw5sOqqMq2gJ54NSPHssoRIgCI0NNS+zBpRBw0923v
2IsdJOM3E4k2fCGCMplbzkDkjOQ/M+gvRp1iKPv3M+jjz3Xefx9BLz/1+wgKst3z8TBHbJ8Jop+O
yu9SIsj2y8KcMPTxiCEIeb/7MHgIJHQUjifHRXjsVBglf5pC8Uuw6RoLvX46O/9MSry8tD/7MBTr
oSh+F2j5y3ahvyTdgdt2FdBV7xaIHtaIdK4umP9tEIiogDXFRDqz/kpywKNSJ/AaR3x9DuJbIAS3
6zTuGBcP7bp+WxaXwYQweyhML/0c7acxfgh7jnUyEza3xK8+o7ACjSpc3JxVBG5ZYIgDegMoy/Rf
aq+Hbp54bTZNvso9Ob4CyMhZFJwj0FadP725i9lfuxfc7FPWGXWqoh47YuoYE4M8LCva47p3L76I
D7pqZEYbdWfi6rXu+ifHh6uknl7ALnZpEwWfRPfP0Km+Nj6cD7pGuzkhOxe7O3jL2FWDCCzYujXT
UIDgOaHZwe2bIlR6RJoffJ/FUNTTfTyR3bxgSLcd/4pQt0lHZeMj+DLQ/SU9116LsLkmB8Bi6Gfl
XB5WYvcITh+Rm071yB70uD5Y1c1PbWTf2hGlhk38JCrvGULAGQ1Hl42euRYNYq5axKSI6v4AFKnG
ApH1DJLgyMA8p1MZnaz/AzTzN1GuT5ZHODso7CLH9bfGWy4h0PC6jelHGOP4wTapJ+ZK2GXgvTKC
DUJIewvAQhsrkLs51Ivdc66LEY3VuuA9E6KlubaihkPW1Gqbb5CT86uijOthryIZmbMaYLM5Onrq
OHAuCnVx85Byg7EHfXqOoZpReCjLgq1Bb+026WOtokAh1OmZLjWhtjTrggE5nZZixU6FRSgogNfd
Ok0F0L/vfYUtM6SkQR7CA0cXMuDftJdrt3xn5UoRt5s+MZYzhFvr3PadS2PfbqmImof4whnGYXxD
KrScoIjxOzxgk6R6aQ197bnR2Wa2x3FtKqByo8zpFP2ox+UzACLpFMiDLW6/CkZxKYThNdREsAgL
hISeyKLWKoShteG8R38DnPFAq/kVYUfEiglti6jkr2DBQfBTVkOT1j8WHgCZa/VlIFNJjq2LSC5C
9LxuBbkRr+2Gs16celP/oAYid4frpRfQw92Z9f2+Hsb7LcQICdPwaaSgvNgg9i00FaT6Z0Qd2HM5
dlg8gK9wXz8LN93LEkASJcuVXl4R81/AU5PhDObdyRy/yqQeumnCKpIy1qaEVEvWzmaDI4BPvK6m
h9UO4thUIJRYf+Pm8WT68ZOBLc9a6OXebrLN/P1nOf3/Xdu8PCvyfzpX/qvFJp0fb389WH792O8H
C545iNEUzy5ieNhzGMO++v1gwXb8GMtkPNj8f8lMYem693OxFEwsXOB/pq3xZJQQTBDDQ1QoZPV/
Im8iIPnXgyXG9IaVc1gcjIco4VlZf5Y3uRFTsvJqva2lGk+8Tej13Jsz71vsN1rnryCic4BCzaGH
b+o+oDdO5H5FUsZODuiSb9r7pBox0zT2Xgl6GpZu2F1w09R3uKnjxid72W7Y1TRWO9Fs1VFPysvE
CAZz0YvAbbxN/a6Lx3Z9tGJ8TSp0pwR4QxojM404RbDQ02aIO2F0NXDR7EWcX9smtxe5HsTnp0gg
4MuLlG99jGuV3yTH9iL0jxfJP7iI//yXDYDCcfEF+MUiGC9mwTaDV4gvBsJwsRLai6kAAh5+MXyG
5qfhIPwsulgQEbwIfjEltos9sbWgosnFslgu5gWkhRv/Ymco+Boz/A0Ln6PybB7A9/CoOOuLEaIu
lohEeDSt4ZLodVmL/mKciJKoAv8z8VnqgX2zrt7K3RRNVYotEgB9qsU/JPP6UDXhI8cRvB4BRxJ1
L/1+OkTTmPVTxQ5TZJf+kSkPtaVay3iD+lzSfehrKJDYI/bZlKs+Qqld92vfNLnr+jtbLzc48U99
W91MXnDmiuyGRZ8IdJnBIZx5MQdrRIXk+EP3wYNUyet/iscvl/t/bEqxHQTy3V9rB7zxPzaleNQV
eAcfq6GwlQY3/Z9qBxKOHtpL5Bx/VoHf4CA0pagZ+Nb/9j9+t0b4v7DYh6HoIGR8yWL+s6b0QiD9
uSmFzwKBz/+5t5KjR/5z7cD6OegVDOJb48bYHh0buvB9q0JV3iLVHXbdNcEWkQMv4zYja/VoqQAa
jcst74MV0nYJ0gxLdppiTRTNl6jzDp5u6pwbyKvrNryBOBUYhOSbmxaTdyG2MAF1RHpBIFRf1nf1
hCizKFUxdgtkaI44NbfAdGXClrxZ/RIbRxr0bwSSejWrC4Kozms/Jqkfy+fNZ/cy7Peshdo1mLzf
3F5OGOY3r/PQPQ33Dpo7AJTjQi9rMtsBmyIUUPMELgAwf/eW1PM9Y5N3WLsASG8b3AWeaq9X6oYd
2ooeyF07YH3J9BmW4m2tV5V1BEq0/dAmiEDCg04laEXaDiN0QJ/HXiCIx/V4oAuW1syhHrNm9GEj
DSDiHYyUzN/MOXSQQYPZfay83K2Q8/1E7/0YpWiE5RIuxYwtK0Htb1hUgkZ13sIPlWCnjkaaDDGV
wIVXPTZxukijhRYlqkWssBNQfuErEPO2HQ8d1l+Zof7SJiRXqr8fZ+9cQUxBaBvR/6i7R5eVrR3F
uiYj536viM93nI0nP+re+6VCKDMur7wtucIiDii1LVipEw+D+R7y9Vh+gygkgmIJB9HfE6fsuO/8
HvCX13gvqH6QfdjWfMegtjMQgpCOX7+DQtjFQSIyzfFtueqPifpLVsODT7vNHJStbmhf8oJoY3eT
qj41ubRE3L4i6vRFOXPvb/43rGs6eYN7lVudZCxawiIW9IcMzEl7wn5rq6lJcRJiQRIUZn4JzkQe
En7RfI8tBYd45uQKa4O+WIk/C0cW4rqC35YGwjIgZyTmonytFNT2hiWFYtY7uPjTrweKnRvq66aw
cKEb0Rq3WADSCGxWjAigUywDMKMf5TNYgIwM1XfRTC5rV+t2XCNDXFuxD8jyiiWkoO1LlvW8RzjC
QhGJlws518NIwXIBo2mJOCm5syV5mUETszH08zqon6KyEgVHigtBWsQYsY8J6wIObdzECKgOpz6C
4Flhucs68SitWPO5VOp27OjbtpRXrEWEsrH1DdJk5xG4BPrY5NxjE00Kd3bLarAQcwWiCwOH3k8G
WwZUhcWTQYJnmTT81cVD0bXR0VvEa9iE46NDA5uSikNfDaKnmFSPBqloL9EvU0XlcaySozPTuRR8
PJfD8sJMucfuskfC2LEK+S1JlvvKYx8jdTddNwOvxbXpGPCC0e/XHFz0wwYktsHuC7HK/VxXSdGY
pE9x97Bvy7Ycq6BeH0oOpk727a4z+szU0hT/Odp+HW2QH/693vJfoMr7j//D0Yaf+q0tBvcKMSVk
cAohn/w1hAj7JcI/MIx/xgl/P9pwfmFqC70ohK/yC4n9zfXn/4JdiKfXRAkwTByA/2wx49/Wl+Ew
wzpmvEA8DQVcLvvL0SbmWNd1yNtb4k+vQuJQcGv77tvo2Ppdn9YMxAhi5nEE7XQDeROKq8RiWSq/
yIIayFUnoXOsAoHAeA12IvJ2mI0ftdyCgsfDmm3CXnmqzBkZsKgItUHyAAKhfwlsQZndCO7OZnnr
mBHp6tMfZSARASHwQAVmeMO3HzjfkMZt0GNiwIBruEXAPntXeCt07rmLDG5xHDjxmqywRTyWqaG3
u374b/bOazluK+2irzIvABfiAXDb6NzswEzxBkWKFHLOePp/Hdq0JXnsKV//rqmZGpdMkexGn/OF
vdeeLvrEMaUH6aEb2WoA83gyALPBQp7eClXsUbSVy4q2cRH0rAyygHV4OOPpst3L7GqPvT8HnKtR
ArhNGRA+tPyjiCNvDpDRZllAf+vvjKBdTzbOuArKyUIfxoc5DI6tnR9KvzyE/E5YxaN6ken6zRAl
yz5A/pqwavA1/c6f0pYSu8sWDN6gMjY94DfpCsMxus2MiTWeUz4CklY8oU5BR8/dV1Fw2+px+axW
wwOLieHQSh2c0TabFA8n25L6eQzgx+TJJisHIcdJBVty2o3OAKQb+s4xDPQHo8LT3EXDWWGKsEqS
bl7q1hysZhd0T8D8aaMU3Y2hhG+4r4oNGCNPA050KMRLO75AcFqbpXhpJqPYdLW6oQwMVnU5ZMWD
q4X5bapyJ79Hwfw2jDCfDdABdlcWuEE/zCu1Fp98nu8dhjF1O7Z6cdZr3z2bmd/sJ9f3TJemYbDF
lmEHi5YPl4zpTicjnlH3R9JFAwDucciHpS09NgZmG6Aw+lb9MODUH2acf8+5j3POpFv/63PuNmoS
2S39+aSTX/d50iFSRdyEPtVy6LBBlHxXxBvoTV2VWdfH9Pg7u7VE0IJihVv7B532t5OOnIiPU9HB
Ha261N7/CJqifYAYf1D4m0DlOYNVHR4mP8pPJ53m04UmtSguY63a61xuN03220wIh21oIxHsJ4yY
nTowe5YLU/hcrKTxjiS7VO5ZIx7MIyzdETOMUd3GCEK2Ftyp05D45VvZ+iC45d43TO3JXgQo073S
VQaU4poyXpo6a88VaL8viiratebDnvF86KaYvf2cEql03xyF/fuYWudA0xDWBOEA5wjpLCtuixGc
Xd8OugUQrAlhUXTSXGB3CjwJayoADqjtIjQa/b1AyP5kqWm+DayGUV7pNy89jRJduhPRfFNC2/FQ
H7qwL68HKULoEEgFUVAu+0Ez+3Oo5Gb/tWBkYR40Nu7TuG6LpNtoc9sp72bgxuEpNGVJCCQpr8+2
HIvYgTaGt2GM38ih30da2xqzPZzY5qMwUAMzZKFbpIMDAC/ty0EBrxWk0UEomEqpctPpNe71Chj7
4GJi88cvYkiNFwgrnF1IUfJ1EApGyp2YbtuhmLHYWmwDcz1SD8HAXBl+g8tyuA9eeZIiT83n+cVv
wvldROMTC/V1HkR7xYYxn2kCZ5SFIgZYU6AxkeymTYL59RBo7XSVFGO5tFo3GRdjVgAZjIYgWjdZ
i3UI3RuUyqR6RPOa7hD+3htJFWKmwBQZqgM1tFO3WxE34tYJy2zXKq17X6qVOI0u4hmmybItaS3U
E40KvRpixKtiD8reSFubrV92jh1NWdZtP256RWnGFW1j1S5HPyq/2UrR7KbSz28gmTU7S53FczBr
NlZptoKjn8RXdozeoFGq+IuGIBckjz1dNclcfJm7UTnw8KJftvPhHAe1/+TM2XCfy7V1V4zRrRKN
5SWUC+8cEjwkHDREzaJpTG1FCxG2q2a0mmVQY+D1AryVW73X312BdjU19vY4GNcTMNSAzbvQ3ksp
EqgiFZBY2YhFO1Bt/3sWf5zFxt+OU4iP/c/ivc5f6rco/z19/o+IDvnVnyeyJqHgRB3S5VBIfnie
Pkeymv2Lg9yRU9c28VFJNsYnAMPiT3iDQdmiB/qYnfw+VjF+cfAvy+JTkGwtMFF9UrYuv560fxfR
oek/K06BEuOSYMKpcQEgHPtpJOuOllK6mhGeFGzkS6vHeuTMk7ET/VQ99zX0ShyybV0jw2Iv4AHq
pgr1h6qJcRMk8cqdRU8MRK2bSzjzAXoxgaz6GjFXMb1Qd2kIHYIRthPyv7SPdT6/BrTzcQmtmFVT
YmvVvON6qoNm05ZKGt46LQVwbbUEaOSKzUJmDub4LivS/t5sg1j3UsrQ2xDhEZVeHIfrskTsB7Oz
2U4ha4/U6uyHXOsVtDT0iA9l5tL7GVY5T56ZQ7T0FAaNHq2hczGSvmQ7z2cV1YO1NV3wlvRtqX9m
GBWgs3Xi6Dg3CC086DjUw04kfM8t9F0eqJmXGXF3BL2bnWyR9zfMZcJV3SW6yUQi71nroV3o0sp5
1hH2gn5s3QK/Zd0JhEROZNlerKX2DeOMYvbmNou2aW3PXzMdQHAYmAxYvUmtrFpfd64Vl/7CNLqk
2Dm90W6smjekWUaj0n9po1rTVknPIs3EjB7mK84KfxarWYd+KO3+xjy7aKkc/rWprIONrbbzdVP3
8bPh5s21azf2Ok5BM8A5MsM7gIwn12jK4VIovJqXnCQXjGngHTMv8IuuoqUFCH12Ij3+kqSNfje6
HUNwBFNYs4ZcjdKtauQcp6Q2+PGu0up43Gd2ZA7vYnCCd/oqewOV1UdhGnKHRi45II3STItMqe1l
4kTNE019WQNXVhidzO2/J9dvBD1Kqr+uIhcdIYF/LiGlmejzwKKElJ5OuPXSuKQLTJqfBxaJjqqk
3bn8h8kuds/PA0uGQaJch8jzhwXqs1mWQZ9EEVFgYgjXVHQL/+DA+hBH/DwHxuJEJgL5ZSbFrjSR
fsf67suxgUQcGudmNFVvHvsdO+JqqcXgAGpRrUGAdBjtp0eb0eOyCcyvtQHcBiDU0pKw0XhkTdHW
4YEKRl3kas7cWK0Xzlx2yxF12ohpfMnGtPCKonud3PxLGAUrCLg36Ag3+dTusdHeVCVojLiapI6S
VJxa06/yDJZvoNj3TeIWXupmLRhQ/x7z1SMWfQw8xYzamfLCCoyzNoiVWxV7O612CUyd3dwT/8HR
4Xh9iK41mVe6U35jj3XTDYG1z3FXE9Tx6rBOd5v5YWTztUh0dAoGPOGFMLN8aZS+p460+3YZPgxa
95yMKMKwh271rkDKhZ9okYWAqVsgaV5UGqckq/ZpYhpIDOtvVR9iS0Sx782pc46g8oAmqc6x1bPW
zVowLBGoPjsrEvCkNYNpNfBPjSjUJZy4GR2nOX9zcIaeetP+Oke8uKWfhdc6ZNBF2NTvIbuiY1yk
O8tVIHfp5bQJ88Y5N9GIFdUeeNc6dIx10AZewpAMWnAeLlBNiQ2+K86WGrCqOdrBtRoY2mYuMVpW
QYToK4d7AAecQW2GsVSd0nhrGGOKqSnSN3EoCf8zvHoxwpOFTbbNqPmX2jjRL5tNtDYZEq/NAZYJ
/QFhRYWRrXIjvmLfdZjb+Jzk6D2nYF5GmfPNn2OxiO3MXCmo+ZcTeuUVdR7Fa4fmXI1DhxdCm6jx
K3fTxniH4rHuNq4O1TULaihH8JBv6KmdTVda4Yo4p3irqujBeulopa1RrlMNcW0285tWI8qFSKhi
7QQKtoxpQFZSBOVKgbKMYyKJ9lbTDBtkxHeT3ly6Ts1XoeJMi6ItX4sUF15Eyc7+1DX3pcusQfZE
i2mWL1Gk589DY8X3OUjpRRO6+XbqiOHQRyhHDNG1s4WdDWfIzAKC131hoNfcOgOdfziYkCvtLnoj
Vwr3bWz7qz7IlK3axuvOSle+n4PGAy67yFxQOeybMpSHyI6VeHCWNUIENL6xuJ618ToeuxshPbUN
a4TIS/X0BJS+3cIt/tbm82uLG3ndlohMUzetjxEMWs8YxTKtKwGYaWBmrNj9BuiReaMr3UPkFi1U
nrZjkBvqowZXqCu/DvxU9ozY3A9jWApOWG2UaLrTlEFj7h8IjwXCPucKXw3DpEGI6ljrciGVxBiw
2ghWUZ4re8Vk4WMY9z1MPo/u7I7aYW/H+WWwGwwS9rGxnn1bP3SF6J9gWb4Por0aTUVZ5AxblrRl
2AwAkG9dt4XuVDPXChL1Sue7hWV46HvzW0Uh5mlzeqQL1ha9az/MDp6bKJ4dZlPZW2OTwQCifVfE
0zUBNVfsrMgHkL7CPHMYREeoiMY+xHQ4FeOix55HhEq2yxtmfnZjWOtp4i3UquzcoWdPR/9ZLbov
pcnx4KgIAu2kPkSD9jImQkD7RODZN0Wwxm6Pt82AjWXWdCMNTtJZQ6jY9Ee2SI+dgLVpK+bFHSUN
IkPliPuVf7PFhNAlae+VbXHAWL0F7Zt74LjWsVpU58htp0UMvp0O012CDnlvfMFOo4+W0PXFF/bI
GaCjfDzmevu1MO1d3llPEH2tXZRpi7ieX8khQCxajFt+6XQd6thIM21epsI+hTGnjFsgwQXEk9AH
L/pC2yqV2E5DxbIiIrMhGq5JubtK9Qb8ZpS+to67tXPjpAXlRjGrTQBln/cUpInGP1svoRNFXhN1
35rIvhDb0a76Ytq1ckHVyeWjmVxDRle4CzovNaZD2KbXGbstLQrvUnZdoci3tlx+dWzB0qj1wFLX
yOobGw09gBmSH6LUc9SGKQebNAba737Hwop7DJ0YKqHGAWaapF4g8hs1quvVv13dr10dk7K/ro1k
V7eM3oP/1tB9N2LTxC+qA1TC0lXp59YonT7rIxo6CxsgKENQQz/UR4bxC5FHrB9YYksEx/fiTZny
BO6Q0klyhGWH+A/qI9b1P+3Jf81CcQyD6oiJnVzxf18fIVAOWYmShUIVlYXIwwCm8ogJK0FhTGHP
2dLPNqtGrj19xPs9zbdd4aOty4MrkJn2SxLmngFJPlCrZyh9mnYZtAZwUtxPMIubPnfPWdHO+8Do
0mhXtZN+R62mWDutUfFOu67SnjPf8PfJJBg4U5/E2m1ku6l5oJVLm68ukKLhWBvgCq+lJK0Xefru
M1NfFjlTKK8jNCLeqIxhmEI5UX/TVlO7M/mAKqAtQmojMuy659m0MXnbVage9M71D3VVsWbNcxyQ
IaMeHPBYeDt1ig5YPcwr36fEW8Su7750TR66C7Pyh3ljm6xXkjzsLiGhBmTaPNtJ8DWmolohnENo
Kaz3ss3eUVRiZOizynwbWhawYHz0KgDzP6vWuk2U7nkQAUwOXeV0GNiXgN8a4gUeEOdRU3Bcu6zE
ITaJftsYub4DKRJeKZRw20SrbfKBunE3l2W1QTNYsEan5ckSIh8tp8SlUXds03v/yJtbLgk59JAz
+UunzQ5OR7VJdpx9ZNEy7xIT3EbEMpS9awjliMVQHaAyNCYn9ooG2KqdJ8vScd8dM1QwBc5byo2z
EUdiA4asXShNxp3k4wYAP/FkhqBQEvzfC0YRm4KQBFqMEQNVPZwSFjmeGpJB6GI4X9a4cFaxUupn
FW/grTJYxk0uRP4eq2a9z6qIZI4eZSA8u7ccs9v/y0w62Yh9RNH+MU2Sc6G/PrUIpnvp3+uX5r9/
4e9dHZJzFpwuQj5D5X8Y83yeWnDWXRfoDq2WgJsuZ/KfYyiHU4svUgWb0d+oQJ9dHbMr2YBxAhoy
0E79R6cWbNefTi3LYfrNwSg4BXWiGH8aQ+WBQ/nbOzDW1DTYIrPZYOFxuPKGQ2f3E/I1vbkaO73Y
4LMFQgWNKo9NCvs8e60lqIrhwRZesbVyDahUwSCMRWyGlUdLMS9i+GbLUGKv7EpAYBvG7FIF7mMo
4VgMuQxvhJdFAslVDT/LKVwaBYha1VQ++iA/Meg4x1lCt2wcUlu8fPsgw6GaQOaaYcvBGLSPQjfv
A4sTpgXkhRUkWeZ1dN2q9YuOJ4+gh+Chz7DWDASCEYEjzT39fBSQwpgaY2ExjCcXhpgY+4MLU2yw
0zvFyo4tAh2PUIz7vPYpkTTCjfzhYM/mTQ6fTAuULzq8sgDiXKuC924gmZV28cTY8YSMP16EFlPs
EZgzD8VLm4JhziUQTbEh3ElEGprKFB8r1r3Jr6aV4+TdCrPgRL5Vdq5RDkGUM7aFBK+NQ3caZEpt
MA/aBvTFOobSNiY9xL6ELFBFnwGMia86RLekm9aDRLwZQX4ZYb5NYbaLCEoBCNJcRGffh5UPBMic
nkTEyjYa4Ikye0i8NI+KtRFNDbotm0Z9vq5xrq21MN2PoOjCOYNb2Or3AtMQwSDYadGHnOPe1k8p
KLvRCW6rkxnuBDR5dXAOYgJ+QrrsOrJ7NrAVIRgthobWaHtCMZynUNCjdVUO66iINuzbcSBnxdfE
FlBvJbBQr7R1Cn5vwhY3tdM24uxi8Ry/1rXxblv6O3MESJAg/ALiQUbJ9JvUPlvFSNYfDCshCWly
KJaBABbAAAHG7lLggFYXrhnVszoijmk1SYKgHggU9h/72dzq2tXQK9dRObzhEhxqz1IRqKpw3ecK
mJ0N6R3Pgw6Ssdy6QvLEdTkxdWwH47Gz1SUuvsCtTFDQHTiPJYCOlSrFsDy6PEcuXOHe8EIJnqdh
reDnBeMqsTvEtoRh0IB02gpFF8QSK71xewIPdd8AURrucldc+X2jcT+BvE+DmM8Fnr+VE5cw1SUa
Hz6NulYkLl8lceQw6fk1qbJfjQCkPju6G2BR0LqIf9phB20WYTvgLp8hpJsw3QN1PhcFn5RYAvtR
0F58CP5hpqrLUkL9RcwLmIvnFtp/U1yDnwTJVTs4zTJ/N4riNPoAaHrCAly9eDOblJEzMQKZmZUr
O2kQtI8KN6BMGxgsmbFQWcEynJUNMPh4ftZlPEF9FcfQmIZVVJB/W/k8Bn3mv4AEw50yVUdfJh3k
RB6MpbnNNQTyE2EISpC8Jx0fGT0veLYJTGhcxBkyQcEFvkZsSnpHjNw3V8YsBCPPnSGTF4o8WJnj
jI+h5NLvgyq/UvTROmpkNihRVp3GnlgmjOTxynZnfznKkIfO9wsvqDGthUN/7OvEwVCDUS11o9uw
5mm2zEDb1SmGANPnHSesicjDab4u/FIgl0Yx1WT9DAtAuTEwvTCX4IMVzoQJKz1IYzS7/rqf2nhZ
VDjzQckwTAop6fi7OqO6zkzjkJJ6ofrqnS+h6pre732q5hWz5jHC113XMWAgrX5KXARfK6yvIvaa
LgZm3SPybXsj08kL8HMk31ED0YZd59W/ncxHJ8N1+zc1wfI9/c8J9M9/m/Tyhb/XBDQlrPRVNpW/
Gga+qwlMhrY6l775KXD6rAk+xAJ0P/ADKH9V9vi/w1BMOCkOGDgk/sKwbPOfuQVosX6Y85qIoRgp
IxNgE4b64KeKoPVxcadzrl9yGns1ia7sABN4P62+e2V+24h9H4urfwiH/9Ak8JvoaIykusFg64Bm
4qdvREhhwpwrGS6WhaqxDVTHXFlzJ7uliEMVwoUy2HTvbXF2p+6qSsp7W6+J8GoohAei/lZJrSWH
vrbcJWJ98jon/OPsk6Q4q34CCl96mRMifJUD2rBJb0u+oaeX6aVQAbRodo5nttKrpaP0cjeMSTeT
UOSMwprRtJdrzbx0Wfbikc/XvujXumm1yw55FHxy7GW2+Qhf++jCbACTajwhDChwLlm3HDo3SjYC
drFObaT2XIgMPIi43dVufxr8jMxy9udIH1PkAXikdSms7Pr2muys9WB2j65TvwN+fQ6y6Ustr94E
+yoh8tHFqv2DIBdqzaZyK1y/3jRhzTtU1/eFCLaRY2LJxxlEL/xKS5as+wxIrOiRZKRyuw8ThSkj
h99aa+dnLcskxSo+mw6AqiklFa80lpVInjtbu6+bAJZq1i2gP9/QKW2gqm25bRVG2QQaDqYBR5hM
Uo8W7laZytTL2srxbPfZbbn12DZ2FbSupjMxATOmonm3ef9iICjdN2ei/lCFdQSCiGw0Z5JeIb7W
yErXBxARE2rvIdSiNQzWCyFm8RowwWbOzCP+ceghmrlxe17bUCogFIFXv6zcZ1BsW3YON0U+T0u4
4Q+RIAQlINBqYbTpbTN0O81K+mVtqF9V6NaLYJge0iiyNqMxn/URJGITxtDi5/pNS/U3fUgRVY/a
tkjdHWRCCL1QbFk5XGekk4JuFFe2MUODTfOvc1w+hXYTehmICLTNMcY1O9kOnbFhzu7prN2YKBKt
xSNGb2nSMCMcqV5IPMAxPztKO3mWGOEzqGMS9UBq2M5uzaHKl6o9rDVnkOPDetynKZ4xfdI81eeu
MY23QXV3kaWt+5nSgwDksn9ILEMOOQdNnRdYApEsj1q0TGJ9Z3B3auwLWllYOdULCv0bLVHeESPh
50d1W/A0Mtbu4dI1LTEu+LYHwgqUzGJAD1nDqRG8K8y4LTjIDCn7SDpxhi8ihoYyBuUxiFTfa8oR
V4DMsmuuyhjtX9tsh6F9IqqVaxFMdh+rRP4Vx0TwkTXy5IJO+JAqym5O2UeEQRiu5nFic9RHb2Jg
IU6QgbEYO+0G2NFmBFGToN3HesmQV5RPQ70ia2kXmjUpg8p2EvbLGKvPswVqCBpks5jS59S87Qf2
1V23LwsAmwracezv+poiJ3RNVEREyg7ETfS6sa61kNXGXPYbw47btaqx8Al68zk3NZAZxbD0Ffbz
5lBuOgy4UzF8qYuYwf9kPrStittWIcz0TmLiAsfEbVromZb+r2P0x6BjeYpyXZhMtmggcZHg9vhh
7AQ41TD9SUyXYfLshbnx9+NtccTNuVBe8sdylewYri78A/rybhlvjN3fH+Ny6/fjIc63dxFLWGzf
LEbNP3772oeNr4huvvT2S+nvXIRY7vhMssfin38fHW6ODaMW4Yb6U3C123JnRWQKXjREZrAE0/Td
DXaIrf7H9/nx9vv15eT15A7UAFQxGPzx96mo6q0OKvlFWIdaICylzjMf//53Mf/be/b9L/PTN+lC
VW10JKeXft08EOC06rfqm7OUCVlHOQRa3NQrVoZrfXt/cpbp4tQfo/VDs/JX1/F+WGyBHF61S/7F
ZbHmv6uHv//59B/tgr++CNIniBEds7z1oZv+btWbkouMUUPVLuxVT/61ulKP2mOwJ0qY+nc5LfZf
tM3onar1sLUAeRywrlyzcFojE/Y+fpT/76ZTHGC85n89XFql/1kW9cvbfxmJyy/8LCTR12MRJQzP
MLk5sXd+V0hCj+YtRCivw5Si0PxjuOT+Qg1pUnnqUAYoNPmjz+GSnDvpJnRUwteYS/yz4RK61x8O
BwbvDn8PJxNwNj5L/L0/fZgCH5WT1hPVBxhrkFldPaFdCqXvwo6b+kJqN+h9LssnyyxbfPCkzrQ2
wSxOxsq+Ufp8Pwes+oHH1Fx15iNdpL2scft4JYqr9WyyHc9kvi5FUe21ZlesKt/tvYrdLJ0kA3aZ
SmaMTohJxr53CSzjVsnXYiaEDnHlns9CsK2JN2uj8dEfMKz0cXlbFyFQNSVyt5oafEUQejca6oHV
76lQQwaxMj9NrWNtPVnQ5dFzXqVDtJlk2lpB7BoDiC9+q+9bAdI5JJhN7YN0HVTkOHQDLHv24a8C
BOu2lYluNRnLa7cY30Uh3m3HjZdshLtlQxCcOxpPuV7k+7JLyb8hLE7vw+tQpsfxYzLOz86JxfLQ
6G0PzHVRPIyYiFYcPZtEQ7VuIVFnwbcOChZhPs0yGrJ3kQI2kXL2Ii03ePff7Hq4GUQSbOGpOris
LEKOIc8v40gRq04Z0bgi5I0QzUeI53uposdMUbDRhtuUS419jNg+7YedIdpnUn2JNZV6fNJjzrNU
6Dvq9OCk7J8vY4NptmzHmfUlV6J7FSrlt1mynX2GO6smBhwAu59c0DkdN1nEiK+KYndXVlN4bST6
Pas8kt3I6t7qDjgFYDZfZhXxaMb2o7vrRBqccLKV+1nNajJalWRbWsVqiNUbjdEGRYbDqIYZ1yJR
owc5+2Ir3TkLQ6HfNgKi3EtRjkuraLk+leISxL6/EA2+LKHe2Qo8tiEmD7GjMUoFqLaclxhQrh+P
j6UVvdlGduUrMcpcrYLmULfZwla6FzNrmHCYxhfyWJ4pr7FwBPZmcs0Czm+81VUmZ1KbO3bzWtGN
HGCTs57YFoDTIJMxuRK+fdQ62OcODLlszr9BsnBWfeeIhbAmFrxJYC2gUHzVhPIE+YSh33iThu3V
1Ct3DFSfW65LmgRQUJ1ygFB0Ug3/fszjwzRkvFu+/hBkOOHC2r/zR/vQxrxCpR6Ya6Okbk0c95Tr
xGvZwz2T7HmRBinEC4WSmrzxV/KqboY6PgVlvdZ9mWZp92fE1DfGxO+S+RHJFdoO+7wHyn4fkCPZ
ieFQKtZrMLUPsl1BUYt4xTqDiNsadbYo1YiGp5merM5xNnGggAlBqeZxzGFXqRAYunLD7pOh7vVR
/VQ32R4G3jExWO+o80OXowbpCSn2KmPYse2KPB5YdDFKeoN45LU0MjbNSVovZuFsZCjvinWws/Lb
olnBcM7WpNpuZ5PZa1xmMUnXpTc2JA3qqGPkicsppRWrxOwvRUcHomN2X3f9dB2oEx49rIQqLwFn
0rUxiWPcuV8tgb+ztMW9LsyjYVaxZ3SIHVjswfeVR1wdzphj1FvdzdepHTL9LBtyOlAquZqVbjNG
hlraMgLOWgE4bnzs5uBWU81XO2OhHejOEde9vwkCRVnTv99gEahR6SQaGdX2q46Qf6XlKdYaUa4m
g6jyLNJJWHOmdcJCvW5n/zauZvI/au0uj/ocO5IdfS1D5SQIW17hFse/Ez0OYX+u3XCbWc63mRJ4
1TIVR6miohyqSjhLjaXgu23m7DFDkhUcZx3weyt6CQ61DijE71wZHVjLEMF5Lp4JSXKZRvcGbIH5
ye/Zc9l98ypasDJzV1/MKD2FgXY2SCkcSSvUZGwhEVL7dNZXSQDPo2uta1IKj51LDj0kzILfv1o5
pCCqCqjmWgYjWgMzfCaidwaZiZEPn5sMxbiHkZpgN+OnmZ+QvB+banrIrOG6HOILzwMvAomMGcmM
hNSpxJSieerVfMNipKOBaW9z8hw10exV8h1NdbzP4cT6pnUR5D+WLgw4h/8zymhIO0V6Olkml5wA
PhDJCMlc1dsFZyzRR+U2J2WylnGTdtZw7AicUDKK0pKhlCRTEk9ZxrtZBlYqCbvPjwhLGWaJLk7f
oWaJlqQPdatChl4mao3lWgZhBiNjAhmN+W9V9jHeM6lQ/roqu21fYL+kbKn/vPOTX/lZlrHYk0s7
YVr6p4j8950fPiH+SDd/E6X/sPNjhGexg8MXqSMv548+yzIbKTuSc5ehoHBtKQ39B0oFFA5/KstI
eeVHAB5gOiR+/FSWKY5iJPWYFuduEnxw0IZb8YlVY6yv2jZLLyyvezzsqXWyQAx3ofPVxI6zqvXs
rtcoRDItu6r0+ks6Ffu0yW+Y1y1bBU6sEftHtEfHciwSL7eRxxnsL+CcX+EPeZzj/N2NENcUvd5w
q4ji2grmtZaZbMvgFnd+SPqw2TGcb+Mjdhs2FY7JoKbPtVddYWbQEzC0HgIijHbUxHVEcphoA2od
hV0jMjJIA9lHvo3/kXUj+nJny/ibynb34iMRx/hIx/E/knLcj8F3LWfgsZyGdx+D8f7XITnjcvtj
cJ5+DNHtGvKb2zh1vE1yopxXVY1KY8VOifsOctBrh+YDzEH+aNM/sqaX2F+33pSRoC1G5WEPJDjF
Tjqsja44cgRVnt60JgVAtKpmTqfQNVaF39/rqv+gAL2jDr7p7czLqavMKV/2Cnq2wTq7MsDLKYVc
wd0wQXsBEH1IO1tBedgdGRIiNFDKrROSi1e72k1PXiYpnKvcr05Q8b/p3AuZMmxB9+0HkW0DvyIr
Mz9l+ngCa/8KlO/GDdOtHov7BFJ1aNlbXwvOIsQQU6XlbVpySOUyyUrdDFZzU7fO0hjhRwnzMbOx
O7lkGjvNnoIPCm9G2kDsfsu5Ls2U1ejQrQYyQkyg/1rRHP2ouRA4+aVm0mp3zrJUAFeS8TUX2Zli
h+Sm+ZQ3JlEA+uM8FMdejxdIbk+kG3llTPhgGJ5gZp8ag7RjFHbIsPexFW9KoT7rFoH3UXvEHPoa
FA6rRwrLwHbvTBaYSNg2jhiv6E7AWbvqqdPDJWFZp1ro1xVMzHZW7q3Q2KWAoCQgdFkm2a7RnIVD
kez61btrNl6fp492HN7TFty0obL2S+uKXm2td9lJjfsU8wYbZXN87fkhPDfXlmha2eHNe2IZvZoK
LbC1NeajAzbRHVQdVqxT/V7b+g034U09UbL5QW9d21a9icQQngBxoDfRWRGnarxDjAY+JtILJPvS
wke8aHVmpHo1aDxSHVkuad8o0DGHclk27tsUjCf4XkszM67sKLgeq1YsRwBbbMjspVFVz5R+PH6G
WJalvxmrflorhv9Mu3Qc3BH+c9bdIadZGYqBl9VsKZe4wRdago/YyEzZhtSjV/ZKTh2lHX3TvDHr
CNyByQY6HnnHsVNd4lLZNGa2LCFjb8swITq9seN1NWrHNu42xMl4FvgHdQCdw9PBuyUTmd2uuVR+
OHm52Rx0AwVBODVgQqKz6SdXRqVAKQcHCjW21Knchir7CuuUN2NWlvrQDMvYh6UAP+6adKxdQdW3
ZF5nEL1MCLM/o6kB0k5CqE4UY0hiRByVV1kEU5Vpood77am1UWxPOgNzJZtPnWYcmdK+CaNir+vo
W7/MSbCNqN3yuL8Ruf7QumKvWMRmK11KQEQOIDsajpYLOLI3OQEyJS09twRmoFd+h0KhrNZxN10V
lTYshBGdk6S67wUwUcQ+d4GweN61CHcOIA8nOQNF1VgkMzEy6vje7bPccyOpr7KU4WoujPQQsln5
dyLzq4GDrdnf3P3H9/rr+9uf7335Vd/d+6pUJ+I3+wQXfHfvc+EK07WQ2Ahp5/3c6xl/Dlb+/d4X
v7Afw41mGIb5q3jxH9z7FBF/uvcpIuR4xybjgOrkp1mtoeiD1lZJcqZv+D/2zqO7cWPdor8IXkiF
MCXBTFGxFXqCpVZLKOSMAvDr30bbbXc73Lc89+ROriW2SLDqC+fs0zVHv4up2+Mht7Unr0zd5bvT
kFTa10l9ayw4ZzM/zE2+Hw8HPcSCUSw7b/DinfcoJyYXVTw8ULg0J51iQj6HUTKunK5Il0LXXOdt
eD0hQQwEsVr7yhTgYlR+V6bT9aiRVEmh84q6F8hsk54qfb4pHJYibtg8kquwo22ft70HT0BXX5nd
3DGJ5RdYc7WPRrGl9y33duvfYkz7GMrGJAg0py0zdGdTqS5ltZbfaLbFulufumV/c+2V4S1bQwQ5
y/ggwgWHus/bD05lIqiA/eyYLzaBOitVEnDCpjzDiFIPG1/YyZ6OMdv4DTxuUYbOJq/lc4/AMyhE
lWIa4QCZKx0RhiyoYzSLYkU5ndxLggTILqzoxlYoNSeseFq2Jx+GubydiF1rGNlJr4vozu3c8ckZ
miW5ClZiO8biGliEuY6M2LgQxnKsR9u8kUVZBkULW8yp4dtDSm+3ssxpLvn2Z9jyvKfQr7s9MUNz
MEnUptNgkMs+poAFEqNBD9J31smrGiqm3J8YbbTYLeKj7WqOcfDTFk+1qVIuEzc1vhi1ZQc9lZiL
e/tK0vb0oQeINyUup2AaYlO/6YCC7MRH5v1N9m416XtW9k81VV+p61FAyu0u61J2MFSGgBWw6FIq
SmpGQXDpKJluUUuaWnpOVAw7kyrTWsrNbqk7qT/Zgl5w8QG5kJ2b3ohkghgPkMZKLrmQyXxlCB18
Wao2aZUApLKH8JBO8tDnyHLGEAPOCBlvk8/R2zyyQAtxoqwqf2nycwKwhV/Itd2IN2Q+DeINUjVJ
sGsDS46bHvgpQTOfogWcMXWFCOIB0dU0VdYKHP2lc1QeeLoo91rEzhrU82aM+S8Tfq80/I1Le79O
dURgmfDTNUXLsMMqOQT6qIM2VzobbIErpErpIfXuhFsbmpPIzE2cIbnVc/OzMxpcTlN5r1zEHf4E
9TosWhczgFwxrhOgnmwfBYr7nofRV8ZCGYOZDET7xH2rJTc9iQA8A+bG0Ht3ja8i35SYAldFidXc
49HXDTsKCh0sXRAKWlxSDcoZGFOC5O5IfkL58F/v+Ks0hDbrn3vHXfZeFH+9PnR+6Pfrw/jFEyhE
fyU+fhvZ/359mDBxAEuCYRMCSDHaj+9SUVYA4ORg1/82zv9DFgIjzvJM6JH8D8uspaP8F9cHCOA/
Xx82XAvd4Xd6nm1/a1B/FLiDxXfNsff8azOHwJoIY64IGFvgXpZGQOxGSI78z4zHmlsCykCB5QsV
bAYP5iT+uSn4BlR5+iVlpjWRETOYHeEsts0Qo7KycQGhzYditOpNP/i3qac+8JoQOd7QTvTmTsMI
ErVxEIl6p2MQ8TCKjJW21zCOiAZnEuzbc5So23Txljhdg1vf2bs6SJQkoTjlfMKfpPFgTzvkLxdz
1oN4cayoxbuCWn1Pej1uEM34kmBvofQVh8Zzn7HncAmqN7CUV6DZMrFYrJwXHwVet/hluKjem8kL
0sVJkyyeGoBU9TXBIlu2z2jVB2NfY8AZFieOWjw5qaU1sOzw6egWycU9IXBBW85POYYeb3H2qMXj
0yxuHxPbj7Tx0lkE2TSLI8hoIhfErfHqYRZiHTIE9eIfgoj5kmMogip/zx1xPS5OIy0PxTZf3Ee4
LQ9q8SN9678NFvmBrsB/lItviUBIK+hJCVljM2VTP93mgkhEpK0rAFpfpxyksr44oZoyZI7P8tuK
iEI3e9zihvHRmdrRwEaluumcLL6qcHFYDd+8VovriigMAMCLE2vEkjVjzcq1Qj3zeUKe/jznzpUN
9IgGBEtPctSd8F4tHq8GRmAbsO+uUeubRT9vijiFilxl1BoI6brUR6AXCfeQtZ6tgQaSu9jzUD/A
DfSvuG3l0U3LYWdKrNu8L5W+IU+h2kEA8u9D3E3+OpuW3Ju6JHl6EBORnI2wsyDrx2hnTCVYexd/
/dnNsp4CyfH22gy57r/j8Nfj8H+O0ra4yf6O4LDMor6fhwa0L9JvPaRtwCwx6fyw3UQ6TxnLAtPR
+S8Ep+j38xArkCdcNPXflHDfTtHvYzQBbxfNvCtcE+0ZaIh/cx66fwVj+ozpfEfQquM+AifPefnD
ljzN8W+MXeheAAMeo64eiqtOmRPJD/lQVZRpcT/vPNUSWiHzaHws/QUVW/oFfsMukS+j1d7nsp4C
2RYpR0O/IzIvQNJCP00aBzl3GVBsn/wrShNm3iLeQB6og2IWFyzhHZIj7aWkpMYA/aT60khvOxzI
95hT9z4w68IN8cExFI/0WLukYeEpGC7ktuZa9DJVnbwJQxk7NzKb3BtReOiWbOCRFjABUmMC0t31
4sFxNWsbMvJXIFCMEIyP1sr4sWenNWyyVD2lpi+xe6flns43mdhmNVcqsY+qF3ciIok8dItHfc4e
CNqxVqWs3sxFue/InjRH4MINaemkf36RRTKTS2JfnN5EjD8+9jIWa4vdqjZogZYzTY8WwbpdVUbg
TQoZbUFgtmHLJ/TRHpKrFAmxuOfiuObLDndTi7+avvuQ9/a7bifxps15U4RH+quVskZCML5X/H6o
91X6mSwUVk4q3uszcqd6Ua3lmfdQZ4a5LQvS3gur4wRLzL2EVFEMA2m8Kj5YkhwUkUsXm6lL2a6n
DD6SOmMGPx2tyrwNGQWtZ0si57fNPc2PgSY+VWt/Gs0DtTl6u17/qpd+4PVtvgZcESIGb3d54b9G
sjwxDz4x3MK943GCWrN/74ZcJL5st2OofRX+vM308QBt7cJ9xxAobIKq4UDLiyWTMaw+uhKRkxNT
03PGvynpj0RDFs880h3sxsHdO8sWncfrFjV6R2xdeelEorGCDW8yH0ViVDI2kwYxS+S19SynVmRs
iDX+9HZxvDMhLJ/7xGxIIu+OHZ9g1/ZbsMbxbhR0GY5el5u5IFZ4oPOrxZPRdhd6z4cEsNIaSs5j
Hsk7acsYmTmgpcjRmCV21mqQzd3khg/YcW/nuucrYuDmArkccY3F0Oyb8KYP5/1E+Dm5otpbU2uE
u9h0ZJNg/DUbJGmpHrQ1LChyRnU7MOxpPpaVe51M5bQt4fKvq76w1vmQdavaVmf8FF/BQx/j3gOv
18ZXTlIRP6q7JxBhxk73swyUXg0LjvGVbSSvjV6p7eR3135jPw+a1Nd81YdVMuUMbXrrI58wkKVV
edfP1brrXXisTOxcd5xXdgF9pEsZ+aq52Gs2T2e4bEfbLH7PJnNmz+Q+CyXuTeSAh6EkRSFrzAPl
oBWAcjnLATu/Y6O31HPb3qo6uY4jB9Zgepdnw4UeSqO4cQk/SNJNnPt0UkW9dTJW86pSiDwbsPl1
4TwogzBXvdE/QtP+rFvZG+CaQ60sVmZRx2peM9/tVntsE9df53n+mKvO3Jg+JO+pMxhL5i/lZJ+E
Vk6CHMBJgvJ27dG5tRKvcgHjkv8zyfqLpeBvm6LmW85suhf1laMtERQpQoVh/tJY5kuNx3Pv62BP
K9+9mfuBwAf6wMBusOPjsCLESU5v4RS2LAA6Kp0Ov26lZ/uJyCMSy9OEs9b6XDn2fZdj1lPSw+fR
hyqADpMESVUV6yLWLwNejw0CyfdhnqCECZa0iTkEQ1i6+zQtfMiMdsbAsYY6qyN+wHX/hko1Xxst
aEI9VOISj3RuQ1uPqIcZHVtmfacKdoGTh8PHmIdNGhfAdrx420XWFMT0rTSGsrqiHz5Mefg5L0Zo
xwxGN7hXIyIXeFqrJnlz3AJBQ5jMG1GE28i2pr1TNPWhrOxtih0okK6TbT0AVivOw3lHHN/nxhPb
otFwTIe7ku33rdRih1FF7K+mVulk7+T+lrEKxF0xhbfMJqutWxuHOrLOCYPgbZcn3g7JSRQASNDX
IbPko+z7rylpN1tZddbRZLGyhuVD8NYYFXtZFPOnWeV8NmrStgK31kpjT76KTIwKohsOVh5Slxoe
iFsxnKLMP4b+fNLimZbZQCoQpvNtky/+V/fe01znPLeIJmSPN4pV+k3Vy4fCRMObQg7aVmx7Vr3U
mnVidW9OTYByDop/N3powScDo61ngmo3MnnTxUjXQ6r7tIyHXVXNJ1DV5zCzAnC7NwPbqI2VLGF+
yH1WsdtcfJG8edjZsjZE2+P6KD4cTQSZJo6l5U2b0IlQcM60LLquHo0+fS1T7YaUuvs00sq1jmBx
kzSGs2rs6j2DBBzlOgl4lg3HOiaqvof3EKhMf6lihAxDH19Cv8dqRWBfQH5kuC7D9FR4cLGTMYke
a5kFuDNeHHQJDHTSjZvlHwAyXoSlgejsLtU3YXGXv4VsEzeGT8nt59ljTzjoqoyRDZuEGs56pQda
Fl8ZpByDQElPWUMlYnOnCm3gADOM99Fr924fnr1wynd6PB3p2nwS+UjPFMVTPjWXsSAM0ZlyvKwJ
eSBhc6xb4ySy/KtWeR9qRInhIEYqam0ftsk7Ovpt25fdrnWrTUsuF7M07VFP9PMcnfKEtX/v4jxK
aeiSL5IdIIsCmqbGJTeJYY3ovGjdOiQ/tQoRRMrHkyN6IfjjNM48z3FoojAxSU2BsrrCUXAfJxH/
MQf4kOPdbzJjZQPAxNPnxTsqt89UYAfC27Y1lQ7yb+c4C0hKfRVfO7VHo6KeDItfzr6ShJjklCIA
21l5x77Tf4pcgs0qXEC6m+OEKh4NiwsPCzVJHga51B79Zxp/apSigW31mBSx+qaK/TOJBRgScOj1
GlRrl0YZgX2+g5OAxMNcIn1UvmJRj3EIjOoWuAsyqnkhczWoe4aaP80rQJlTdxKmFxNKbS3VQ3Nw
LXlUU/IhDRFvI+VdT0ayK+dd67M39XYNW0JjPHta+iAzsiBJfc7XOEp2SbKwqFwKGWv+Ynlq66jo
i+fEZ9vsWc2EuuTDql/L0oRfYapEcBEPzYmvz0O0zHmRQjwalUv/RrB222y8vRWxIIQoM3RpEHpW
dVt8mxzrBTuqTUzWrvYkh7LUGaUVbXNk/KpyJGRq8AY4iIM2gcsTnwtdxFpghwixI3CJceD56bFU
CGrGFPQg8o3d7EdoY0ptq7kJQPlUU9vYLgM7T/sgHMpnmA00ht5QM7CMjE1mJp+sprhXtjNuWwum
R9I82TExEzmFlxbCemRCf5Cu/Uo/fzPGPhxsF3q6jLt8Td3VrtPUJg5WDcZKQ2PEdcKslRHesLiy
HT6/5bOjNu99QOa+PNcNiNussoOxcy9DF1/7vXuGAOCvijZ5NQjdaX37TEoG1U1ZfeFuYamZZRjf
vU9tHNvHrtffZ5LHdnOi4wUdvL099De4ZcnMkBDDaSVW1DUqcMLia6PyvUUoxBqcDojB1jmTtntn
psMG5tewFnmp9py7Z19ZO3cSXHZQavb9wDc6MXlB0TCPtDPIhgYOiBZ4EDSfXWVS7fpG+jmtCWqS
12lFhLuYVmq0DqKBXeN7w0Ujyxu1H4QBkXyFiIT6mIAzNcWXMtIvAiBuVgwX27x2UL1pcx00jRYd
B718SlV06GT8QiDrp8ovUdzPJOg2u9Fx7zEYMJTML1Ntfo4r8i9ajZMxjw7z5M6HpM8+8w/8RKCv
EwAWDTeyq+ITp8JnOy+Hp3wemJfXyWmkxw9atomEks9XapiwZzoGGXc6FgBSK1XxmlYelmOWvfnk
v2SiPMeWfMoVcsL/GvpvDb3Buuif55uEH4A1+tr9dcS5/Nz3lt60flladhhmqFnQlrM8+33EaZNo
AYWDZtZawib+2JBhb7Ppsgm7sJBNA/5AZvxbSw/+jEA302ZN9n0Q8C9GnH+WK9ueaXm+jyoGaBpq
6j819F0PmsYthbrp9WOUAH26K9vdD2/K37jefrXP/WyY0AWthg/5EZQ5f+/PUwOD5XqSpG11YylM
Zi3L2hZbibTMwrqRelMz0CudMb2dv+UFSindZ0Z+ZnrLnmFaS8JpzaPpVOuWtMFajmeipDasijdz
zFa5X3IJp+wmRK2Sldphav29Rn5hp+OwmUg0nGuSDeN2TzoNKxwyD4uY8ENBCiI42GuNVMRsSl81
qFh9VR2gAz2jy+X+iuV1xLLfM7ODu4QrGqQscpnvqiV2MWMEuYuXKEYNg8uqE2pfLzGNPWRW19vX
Vrvmz3uOHP2gL5mOiBXYZhXvWetLRJyIYKb8PVxyIL286lblkg1ZExJJ8sIZvY4KvGIR8qkls8vV
v4xESxI6ltPNFQiSomNomp+aJYXSjLundMmllJN6awmqnJbEyjqproolw9KvXSsQS65lWDb3TQwf
y7XLbhMRfpkvKZhda92SKxoxtO6ftcTazmxdNgzkYWiZ3UeypGmCXixZh5XYI+2TuyRuVkv2Zrak
cDo6uDSK5Yh8477YxBXUTYNNPUOL+ckgyNPi41yVvXYnFPHkuZk9qNzHpOylL9qSA2qq6gAKM7lk
nWK1r6XHFoIJO5qawDqCRKPuzUrKrY8iAKSMubbHmpIE1VE4Q5wLa48Oi1jSxiOftCOodCawtIoR
rSoiTHvXfvNaMk1ha354S8ppZJN3Wnf+A9r0DztWa51A1LimKzaISJVLVqoxeuuSXSqSrS/Gkqba
2MxB8EMesjilBSZyNfYWYbuFzcluyWO1Nd1fCyJaEWR+GiIyWzXCW6Ulm2VYc88urQ5KN+rXRYjs
1oaiNDDSnpdxq+8l9yZRE0hZqQH84SkF84ufyvlIEv+zMNJvC2hra7HOJJZJpldFDrI3Qqmx5lz5
FE31fWGL6kiE0nWUuW4gS6l4WMfPQ5Lx9Kgat7zi/SBp7SV1Qkx6DOQHhGk2YMDt0Oif0ijjYsbH
PWpLclTU0bBpH53mvUB3Q4tJJJ1rGYzhWC36M2Qzp0Q2Z03poTIXe5eymzrcV7wbPj7R+kFEal6x
KOAp97P0U6pb/kHMY3JDxPNDXZsMlav3HGNCnFYZKITqKzt65jB0ZUhbaR9TRZoNi94n2+5Aa5Ec
1zqPhb8ZWSVOyTlfkgU07a7pE39ZHWTQfEKyiuFZeyTKjUTP+1W5bjMhVvQw68iqsM5ZVzZJPCxX
4NwDUKv4bi6O/0tbus/SE++xPtYrjrWaMZCxzZGpDHI6sZ961UZCyLsYnEL/EvVI9zhz7prC2AAh
uCsN66AM7Q7QWeBo0SP6vJfWE4wy9ZOvohv8VjcTuPq57bbkMq5Df/pKdUKQq5sEadulG/hdZGpD
bWgbFpi0tU01XFyiRZo6zZh/zQFjQcVYlLo08TSGE9r11DWPOVGRm9Bs39tObs16fNLad9HzJA6O
u7VswIHsTVWGTyBUbKVQ2WjaRmfL/ehG8KbrmtTeJIIFAfanq0DsWM95acMZmOuNOwCdJRd9EVml
pV0BS4Ucueumsll7GYsWz8of07rdNp16Vip7JD3tBQOCdav3Yr7hwqu3TVa/1qZxkI31dQy963qe
Ln7ms3rNadvIEjQCVJceEqQs3uZzjkot96arKJf3xEZ/YbymLXCj7NRQGbE96nD1FQxW7E6+FCaf
opIPcVwmgW9px35on3ujnOmrrXwbLk5NuN2EucfcPSQzcgYQH+EEbV/N11rnaQ9Owoximny1iZqS
urGxW4QEbR/YnZvv+TZ7QZ11ge0Mw34wOrWjFSsJfyqnHdRZyfqGuKWoY0RFzyn2Cjr4nuXUDbCS
O8C2SzW2S4Zl46SFb3HJ0HR2jAd2Z8+NMd5HQHUPuKifS1+BConm8PK/r12Khz+5FHXMq0AQHJaX
Lmydny9dJ+sr/Ol1f1MSo+kYgMYfHP7VgvVf8v+5+36uIihTTJYO0J2NRbPLtmFZo/6wFmjbkjwH
5GY3XrgJ08d62krt/zHo/X8vsfz/P7wEWPQsU32mbiq+mOChyU3+bFf3//s9+9sX8dkcg3qmxlqq
rh9fpJVpOiaFUjdW81CX51G7aMPhf7/EXz8W3qofXmIRLP3wd3SMLCLDHtWN7d3n9XaGgU0VUriv
yfT/vNIiaf656vr5lZZ/yQ+vlMlB5A60k5t6Ire2YDZrHvucTmEz5McZwc3//sN+Vlr9+gzAaBAw
n5Bfs8L6+eUQJY1z0xmKleaz0WFpcB4ieZry528v85870sDJ+M+9xiGv3pv4NfubXoOf+95rGDQU
iyUafwwVGiSLP3oNUIIIwQyXw+AbRIuf+r4+pEGB4AdoECoWXYjDSfF9fWj+4uCM9KBv0CUsOZ//
Zn3IOvKnRxKEISnPwiQUiVNpaTv+dE64kkj1keyEq9FipbU1UnIAryoXVsWHPs+FoNTq9I7b3WL9
MO9LJ01VQbmccII5dnoXmgwFPOw3+8YY3AnMrvkW6UwwSj98BYxxjyotv0GBJ/GTOeYWSH5Evau3
V6XjfMgKHVeaEyZsFKB4mfWSkdYCRELT5CImM8R5pjE/aEXWUe4zFJ/Wo8OKMCE+4YLWjf0Msy4W
NekJ3X0RAC2fto2gmkViiL0P6MQaxgWrJ9akF3uYjqmIz17ZhSdEtek21XxGCKhFUFSbhNxCVJi2
o+8ySu+4hmtqvLWRuktGETciIHgYCLb2Aiv9unLG4ujK/sFwpE6xw0CIwVO1jvxJuzSJ86YKLvq6
dI1dKZKPOUk+M13CTmUPRn5QIaF1lZ1MnxiqhmxB5FVERt2hl8l7F83mC2UvCydWoNvByerAbTPU
xMgBSIHzC/+Er8zYOErXjqgF9bOIi24Xw78gNah3zo3r3nqgme6pBQ9KTg9ahfyrtMmn1r3y1nWY
jsPsgEum2w7lKV3cnDLos3WF6GRKtbMhe2yDUyPFy1BFbPZ0i4zucDK6HaDfiTJ5bhqnuZZ8dgOM
x/hqMqjZ0W0ZIZuphN/kr0keIdnN82vWm0ghxKFaaJGauYAjQUXPx2aAJhl/A0uW5HGzUuNNCK99
hnEMw1L/YzD89GyylzSifL63B+7p4L/T69ukZOGz//Ppdd28FtH7X8+u5ad+P7tchiHwZRH/fkve
5Lr6PidBFUF4AyZOahnC05YD6o+zy0fgy6SE7Z9BXP0PZ5e1OJI4ZpCX/XtCEIXMX84uJMkgjnXi
i/B2L8bzH69TqrkpVq4eouckdtyas9RnJQoKVBtr/VS47TJ+1kGF2ok8EoX7wj0P8spN3qxBGHAA
hWLvLDMSO2sLH4Ne1dVmTBjnr4lyKB+jBpfLmjMa4nIhpwp6deyYK8Ua6JWYyfidqWnILqAQMhAt
2M6CPqfgbOQgi5MaflqLij9r7GFbNwkq/MnFluinExvxHvd5GldItxIBamWEwK55EcqAlFQ3pgMA
ZUz/K4NlLODTQuyzEn+bEVy2aie8jLKJjlnPITSXp1boV/Osbg1rZhvr70NLO0NSOxiRPIxxSKCu
g898NjQBAXRA5U8pzNHj7PRKu0mGOrmrQu/UYQJeO5FXcIC1xrmA4LU2NZVuJoe09gaKSODW/fXY
tddaymhERUDcJpJp5hIDpowYta0yDJMV8uip+Uit7j7O9HsuwFxQmHfFjVZj87JsvPJ1tY0qRz4z
21+7LEjDNsyvBjuDv1LKDwDXIPsqFwt56WEf6QN/snICGYXaVt7SlNazyWA33xU1f26FPgWtLGvr
2XUC0yjk9cAGch9X8MYt0W47qPYQxhGpAjZjDQyCx8e+WZk4OmLtChgaRyyGhqmv7E8tVCVXpvGq
mTJvq2fIYLIqh+4yY9Ot3OpFAGNOVobmx8QHmAyO26lJdj98Ff9mPvfzpUxYDF84GgRITHiidM/5
k0Q+0aXSU79NLqYuq62VKfNVTssieYJU+9+k+DcnBcfFP59/V+XfCb9MfuaH029hnJJbYX4nnf1+
+vm/OAyJdVZIpEqiaf3j9POIWePIRBRme7/Jxb5XbpymVIIeeq1fWav/zj/pLyPaP5oJsQjOPPBo
y9yZTB1qy59Pv3ZmV9qL3rlEVjGfa5wbVbsqAdvbIA6jYZ5Xc9izS9M4yzIEDKRRXU16jpmJw4kT
pCOg7MrrYx1PFOp2x2XrqU+avQk1Bir+BqIWa1drhpyPGwFHVIS8K9eqYCZKbPHCc5hVxBU3zCP8
AWDULfRoRiZSgxaPUwyVzlg8mXofr8F/7LsCLnzbEq5YL7gs7FjfMivbbdjrDwlZjE3hZJsyTwIS
I+6KJa7RMJjKAiw8VWV+KurwbJDsOLUVLNIl7LGqWGdWBxKaQ9QwiMjjJRgydVFGZaOLeHyJjUSa
E62GEV0riZLsukkRiCzUToRNVkvsJPiZKkBAcGxIpDQXhX3cD8/dSFilEWUUiboImC/ctEugpXIG
bO9LyCW46g5W2zwGaedkID4Jw5xEI0Domxtd9FOQ9ERmKm/4qtkjOCmyjPuFDpKHxtdxZBTWczIl
ePTjJYKTMu2ceEhk46Z57MWUr5NanQnLI7wzRjaPjeqe7IFt7RLwiWoUzxbb8LAJq4MtU2QbdnlJ
zPKurtU6dKsTbNe1pG8mp5qy2a03U599sSdkPY0cgg5NzUCoPXwrbU11dwQRSWwkHAcUC+x9u5ED
PytTSGwuO0+L4aPG/A1SQXLWpxlxVPTUw59dp6Ufw8204kBzopvRRR1h+93aqLvjgIF1VevNU1TS
686pOE2Tcd8BGXUIgsKEZ2BhTe6iYjjHAlGEG7PEd+Z4E4opW1W2Fu6bNJRrffRvsDa4G6+23svM
aPdGVbZMdsuLMKh5JaOlwko/cZo+LlDesqqvNQlzz/VTCCEZgC+gH6Qb5Y9oSoLlKu1160Wv8FKy
FN8NKrsfU0GgE/lxTijZR3hSrKc2GXjQTXmqqsYILJ+kb6nUU+EC8kzMDmovIgy7fbBb2oyoQQAj
wdC2gtEZeAPRfRlZ3CMOVIoFREr/kBpBCRGXvqK/R1aTrkqymjblFB2i1o4QZ7OpdxgHe9HnWhDx
PMZQR/0krjdMrIy1rfefhpjdrJHagNIdeYQMctRd/7WYvQZ8HyxYszTuAXRt48Z+QAuw06zyRuH1
ww5o3du0m4HH5gYQjYYsy76K3UpbW2m8HePsKbbdYlcY02sezeM+nSL2tawCCE6Gqa6lxMvkWbmF
avKScOvy/mCSyUY4hT5424D5zQ5wa3OOHa53xZI/NDN746GEhWCDjKKdrg3Dfm8YgazKBm+k634q
sVEem5zgFccY30Fr3CUsyXEcEnVlZKjC2nn6UAOtCnDoIggjgrWYq3kLetHYZa4q12HW3zthyqND
DbvCgV3yAMQgW6dSrNH079NofHVkV9BQFsVmdPyrRfGFU/s97UYrKMcMQXnKrkZ0JOtq+kej7BNS
w/1EYl/hEhzuyBrJA1pJYKanZTO29UYNVGLv3NnkqB+ijoINUzk7FjO5MtL8OM1yBzn1BCnzNgGT
mGfJQXb1fSgJNBl9yMaqOU9leO1o1UPl4dS0JkbcOikkJ59zkbMRuxBxMPCme7VL0vKpKGHyuQqF
BfKglQAsuVER2tt4UI9+C5CjL5GwDEXFL49TNL2dxddx3KZ9r69yzyrX/mjmWwxJT6Z6V81EbycQ
oxYo5iTKuXGR0Blo6bJFVIek4bFZZHYWejvTFu9yEeBNqYuaEU2e3pZvFOTYcXX6Mx6GCvVetcj4
FHV/IBZpn7GI/OrcvRmQDkUWpCItQgiYoQgUKAP5UwPVy2swivaWvZ+3jhYZ4Zy5Z5d2JJAQJvpF
aojRazzYi/qwCp8l/Ntdgy4xZ7AJ4gKporGIFhnxfrIWGaOzCBrV2Az+b0C2/2Zcy/L7n6ukQzH9
Dfxr+ZnfqyTxi0MBAkL193rn9yqJWojezIQK+1vy1+894lIK2b5JUUEH5+Pj+WO+JX5xQVNQ2rD7
psb6t3ahpVT+sUoCSegvebMM2RiCEkH2c5VkyawyosHtLnnqyG1ZZnEwljkbx9vp13S8+NesPFsO
Osl56YCDTxidaQAxMadCre0pxsJMDkU9XQOPEqh4vF4tV70xOjVRMyKT1g6KK0L8lW1nMXHxWpgM
ZqCFflnwLXF6+8bte78pApeAHfs0CqHacW0QEtq+ujOQ8xk4DWR0lEq/PrxEHjW7pK38K1nr8hCR
SraqlbI/1WUFCAkCTM3XQ6zsNGEBXavhRHjwtEXTXlzcLO3vDCdVX/RCiApGl4y+kLwwcgrr+XJC
lyw8y/CSaMLewmuSe/p17NuesiYct2Z4QD2nriBMqIsBniagzPgoFcp8+iyzeSX/pl1nHbKttUT8
d8Cl3j2YGN1JgyjEmzdn/m6QmWJPDAMXY/4uwwN75816thkXgXvW66ON/BIIh+g6VNOOPl0aUGac
VzhJ7cpAbdS2MLxY0ltfhnno9nWoA5AxKtoz35fmZyy4842cOXhXqdmbX1I2iae+bqPDhGPnmb7P
gkltIsKsWG/NEAOu+z594y0tDtTKxr3Rxnq2TnQImbZCoSrcUl6mPI2CaBLxRcRtu/MJnNoks+9d
5pp9Ul5T8/hTjuUf79Eb6q7sDNOnfezzst+2flJAi4vNK8syMhTnsk3RZIdcDGPt3LI21rZMyNob
K7aqgNFBeUKzOZzaNj0ifaR+9DRvW4tp/FA26AuvyqPjWMYYK0XiatA6HB0qcQvct5wQgHcdg756
8nApR4jCbWBpq1E0NMKz6YfHrNGcR5bfT1AhzLOpedU1//xwq6Wga9vSRBvaNPo1lxUgV08lhyhG
7leCIGMpW013svFUMLSK2jHuxw0NRbht67aNgm8Hyn8nq6Cr/+eT9aXM/uZkXX7m+8lqGr8AaORw
NDAZ+fYi0fl+spLEyPGo/x97Z9Lctrl/6a/yr94jhfl90VW9aIIzRZGULFvSBmXLEuZ5xqfvB0on
kRTHruyTxc2915ZhkBh+wznPoQEVtvpK2v7zySp/c1j4MDxg9Kap1mxX+qP/xMikkf4hGfPThOKi
/DebAxIjPjxZX22YrCkIFBeUXQ4vhbfTt6YiuBql43Aid1tZFBKTsld9anRShyJ9bJbAO/NPIaie
k96k6W3detVWUbV2206expxuYJCde7PhwbgmzUhlXAbyehTRs0GorNtwcxyCsvvmtH3xKR9hosVl
Mpwd32ekn2bCdVovp/7ujhWm4kWDaLgjTfSE8Q7qXY+bHb4dmCyQsVy9RP5hc79LkXFvk8RoN5Fj
bIDk7EjGQXjSVuvBjPQlsJ7wlBBJ6DLzfCQnvMfEJD9nkx7e4czIjwEvhXUz0QJSFPMM5yM4hZr0
1oPaONsSvN/J73UYAKmTbvtCOCQkGAypsqlZ+L64z9lQIMQhg24OHWtLkgMd5aG3NGC+ZDc6rApc
Kyj2amviwPHVle53+7hSDl0uP/NpHnMa4gUbGRRKNiP6LA4erc78SmkL0qjPv/hl/KWysmRVBD5F
kh/eNoQgQDNSQFBmmmDG52/jCduRYqfPeNyTBbTpvV2xXmimDKidFUXrBmDIOvAQ7WfWRMkPac+x
i1v25tcmOeFyCreGR7SCWRjfvbE+o8vsrmKMjwsgbuqq7OU1LiGmjt50beV8pQ1AQ4A25zg1vgH/
AaMTPykerpY8IFYgGU52jzhaFFpD340gjciWHQs1y8UHWS973yGNUDaunppbG8EpOHC5yoVBMawF
D4U/XQgLPUQltiBlmBRKYZg1XB9EbkoS9U7GqEbGNxUr3bgTDeJ7EfgHxTMnDL+YWZcJClPkH9az
wkMb2w1CJ2UE0Ak42nMi66h2yb6LqM2FxfQPic2VQQFNjDpdrqdqhBxbiL1HK6ZPhc5TK5N+U1lW
ByGFLYvpx0+lXpiI38IREwxkh5xxrqoSlwv7ig85rL2dMtakbuH9cXtucFflSjX84ibJcHB0obkb
JGUt/B/1UxZ4NfUv/GyC8RaVFSElcux0NhMg8oZDYIze8zjq21CRFgGj1qeq8UghzhpXxHiUBauw
2mIzhL96kfb0CJDhdgq5HCeBnmQxyKqBbRra66Eyb7s4p9NqrCtaSUAx2ei4Kq6EKmnDPQbVQ2km
eDjykG+pYdxt3Nead1J6f91PtCC8XDdNiSPXdVIg8UDBF/6I+qtMvgWJtZYUNI3ObVIUYuCDTR+L
oN4zvil2sULDnoSadgoYuS+9Vglu6If9fWYiZmuld92VNHwM1lf66MCDzEAdGRAoFl4xXEaNHmEs
i3jPsp0xsq57W7VsaErr3NyMPup4VSlroJ7ZwQ9UsRr91tjXtj/ty0hTyOUo1VVeFhcbwuR6ise9
ovr3hZIaZz0ic4enX7xTeDsTsVrsFWOO9PC9FU6th1JE/kudpUuslq15EVH0PEVTg3zeMZrqv/nt
7/NbjRfeP78/DwSw8678EJY1/8wf70/i+GzNBhxNWrDQXjP3/nx/qr8RLaGx+OaONwDh/TW/pf14
ld4S8Yd+Rszq2z/enyadCa9iFUKIzeqLddS/UPm+jmffNiZ4diXM8pmBA04cMe7716fQCp/nxtRc
CxI9FzEAUZClgZ6wZTGdjejkV6gt/bqcU2K1cYpMZZ/WssUoJubY7VCfE7gDb07jxrnOiiJqI1Ae
hWK14lwgaOzPWV9cFwx4PuEAgQkZGBMx3/VUsxoOiP5OLJqgbPQ3herR7/ionrwRJActkm5OZK6+
Vnsl66l2Z3pKCp9Ua0RSP6QB6M8CisykYyYxWrsOa7ZgQ6jt07Sf8lt/YoWMFtebWX6ECmwcw4dz
IHCtDB2sryrvo40Sj+WqLz1t08W2tupJid+osV19nrqgZTrojPa0Mup29Jej7kzDKmmxs6BN8BTM
Fmah4L4rJvvYjnUAF03P7dvQtmeoiCiwtwCK2GhQvZrb2Eig8NpmkZwGZuH6phT879Gv8/upN51o
UUAojdjBBbnYYbU11NV/Je7rinmuLv/5Fr1lxZJ+/ftNOv/UHzcplSz6tBnpQedscj+8KXLJp2E6
IG0d1z38U0rjP1bMEkQJICv2zJppsH5+V+QiaaG4Ndm1zOPFf0UbMV9XyH/dpUio0MgLx2R4QNId
Vv8PSxaAckkRYx076QaulbUl4b1RErdPFZjTziR+RU29eKt4RGpHmvPZazrE5FVQLi1LfANjeSvS
3lnwHFoCBVR5M4XfWkXd1V15FSssmiuLKxbN5ZJgl2YdG9pjLwA/1Gj3DmlZ7jBDEl8dngz65DRw
jjXbY62qHSZjUel2jCkRqcptFkarqVeWwmiWTW/TIirTObZbz0Uaf6MbzYMTCgw7cXbh1tSYkiqf
lAAknteRFVGGOLk8+4DQPgnHx96fFYlWdFNXkbqoEHezwz2kKobyaMo2Ixato1qYMyjZRBVOrqdV
XHdZe5C1971w+kOo248gCOKLCcAErrJ37FGIYsqk0q2sVc2D8WvFwGLRE14y1dXnUFe/+yAM5916
CVEguRuE8p1QB04kcTDDyuOY+DwIOQdPjY/EYXyto7xed14crvoR21Sgl9Yms7ydR5bJopLp3Vh4
p7rtH5HcQdgV+tUgy01jIt926B9YjYBShjxVetYp1mEpWf20bXtNdcfJ+RzZzpoxD9q8YKM2snNr
GV0yLJXQFnG31dNVX0t11XvFfRhYWP90+HulE38u65FJdNzcW1N/6O2SvPU6fclldSRvyb9iW3Pt
YDNfZg1R0zU8KYZN29pzqkVd+p/0pOKpFhAwKhoHMmZbrHhkfc98cet746aN+2GV5syYc10jiEt5
HsziMNmw5KPmC//fNstBsZudpDrWQ0raqDljAUuunCH9RNmsIV92RLq0eektA8ML4F3WL6lWbiNR
beyuDNymrfw1vxHWd7kqcnoMNe66RafUt6BpNpEVP5ijtsESh8tAWodXQ3aT5+Yyy1J2gMG4hrq1
NhvQZVjKVmMg6BOYArrxVB2Rn9dEu3kEw47GRvfzQ8wUKiFCfhE71cWM+30UgCUOKkZCRJiqpndo
JiAB6ODF+ERqUPUFwzUjYt9J5cLOM3GjF5h2eHuClLiohVPeIJEgV1YDO8yqC40XpJZW915YBjx7
FhFNARC3TC3FXmTDZ6ye35q4LRdFjjLKdzZKEF+0ItmRKAf6waY0HQSGX9EtETQQT2Q115qRmJxc
sSqFwIcwRNu8GcxVwEwaX52Y3IhgIrcI02WTD2vDHunPdDRkw6P05Ep1xju+6GAhI8wxoXKVlcEG
/iTRelijqf/9KFk6bMCiFDC2zNjvSayT5gTLofmilRWwA96KOsaZLpWIJsIIjmYZY+PXyT0Rm96h
rC9SvpDPDeKEcWiB2PVul7a7UCG0iNHeckxrROzOfYoPaFFXwVU3z9aYc2HRTu2WlR0p5aV6bTTO
U92jG2MDMQ44amMTX2kxHs022vWVQeKGrlYHve/5bmebPg1+XT21VXeKBrmsI/OTGvoo3scK7I6w
WY5lKzPmLlRh5wPbdGbR4a3Ves+lTaMKQHLXOD4Rt6Lb0sEPrlJaW9PA/apO3SFg+xuF1gxA7dzA
bI+9yA54yvGxEIlt+vKB5p5pqty2MytoVDeOaM+h3X1R9WLnmcMas4VYxRH5msGQMbiw8xujZWsZ
TtXJVDEo+dE24QEIV/DasydUxzMOrpkZGnvWPyDvsGEOWCqnSV9TcKwMRdvlKGvAJ7EFnnoDd2dz
ULNpjlnCgEF6X1mo3xIPnlKjt49GCB6t1y1jpwn/TMTJovD9izbJK0eC0Z8mJaTz7Pcq1EyR93gl
Cz9a4UF2doZvtRsnGM608+xjx7PuyBdDn9ZZWixru1nVlWTKGJaZ2yO9G5vi3Ah5N4QtaVAWSOAh
tfBsRHpyHxveuPSL7iWq20MwqJ+TNiOvJ78KnLpbYPWAFaEv9bB6sfxx1bZacR0MAzam6S7WdMKc
uvgzT+BVDbKjUjyCGFTnQbGrL0MJRzYNmOC2qXAxGLuNFhx0sh6CYR6O+AeToa/rmePOK5mZLjSS
R+euvo4/dwmKo6WmZOBop6Z35SBXiYpY0KJTLvp0YngffIfTTv5Llw/LutK+OtN00lgjrigXGN4S
yDFUjIo9o3wRTUfb2cTHJkTc2I5DhtYx/JJH+jlP9RszhkrX5SaVX/1kSX3ZqM4ePuKptglj1nl+
VUJrmYBkd8OofMafTV479q8+M5ZYzvBFj/2J4nVyzUneThlNatJG7aVqWK1ZiYi2Zqbi4/c6Blup
ZnTB76HHT8P/9p/zH+iE9L/P4OhEEH+gRsGWyDjkfRNRl7gIR8dwTtpturgHSHmGV79IXefrpxsU
tvtwlbvNNryyNv0y2ObrYA8HFoTi5r8C97XA1fhA/7nAvfoaP/+9vJ1/5l15qwKx0yQ1rmqgUPyz
BzV+oyfVsV6yn0Iq/Ub97QCPQvcl+D6JRUYz9FcPKn+zWY7RMMJvNXDNO/+mB/1B7jJCTea3bOjo
uZG6fHAIoHum2ykzCqAuYR7mp6V3OwxxVm5tPYw3vTmjhgXZGCX2KYIHkp1Z4cuzWsXaxh5WwhQQ
8bHvVVTUUULK7tCiWjDn0ZjBjEzOw7J+HpvFfrZX5kGamEdqQ6Ku7dRHrAzzx5nks8X7Eu884CmA
lszkbKZz2dAfGDyuFUlJTcvb3jRdvdO7wX5MBgdtRRQ4qx72QKLm2wk/Wa/7N6UGxli1x2lZ65jf
srTaNpN27dTOMxyqS2jIE2nOO+bZt6CMNkpe3yu+LA6ZxxwrIBgxMMOd5vT3SeO7UgluU92680NJ
Eq3EJmrGRsHmyH9gOL0zZLGKVO8BZMrXNiBRdeyIT42bricLMeTvbIoFDU7nVhXYApE7h9JA/hBX
Osi85LpkeA6XwT+Wqfm1CpoT09eXhg8aTgqZ03nP+Mor9qmIhZvmzdZyJDojcuA1XSycidTYGM6A
KAzkKWLcT55yL6vgMvYmMZNNtGt9NAmlqKeVMxIPLGecjebBBevzLdu6BzQeG3ZSpMcb1bT2x4R8
wiJ4Iha2csdCs5aoQTbED+0T9PGbVOrXWWHqy75JguUsUyq8wFwZ1Utrj+rWjm1nhfAbMb1lL5nH
vCgDIhYszqcyobaaQuxunSg/SV5QV4qTbIkMuiR+vXW6qqNgzd2oKYRr+YB7B9UfH1FU7aVvfhds
8pDAREh78+nBrAoeYebjoE6XEsdYV2kPfQHipWoQjqYmOKU+JsoD7WQqxm1cDw5AFK1mOtI/M0AF
D6NZvIkKfx3p7RNsWnaMlrEWXfw00p4yTqzmAJnQrr91eGuu2NUyIU9nGF+DjzpZ9jOij/OHbTXO
3D7Sb2H4dcAo2UFIAeUq5Wmw5GGNOxKFS7KI5098QpexCD3y0hhprR0F8d7CixWywIsg2I6depq4
GS6jjMQmVmR/KZjQkrmt7w0jMihsnIVR8jNTWCinyEfDJgY1XxFjjabLKo0Y9csIW9AIhx1WUWth
MZHdSzlMzJKsfgWSpWH8DLVK7bp1D7dFqv6J7hKnm64dDSKwmSE7F/Ca/rJOouvSptLStS+svMfb
SlPiB1C7iMNKkkEMVPiaVxUr2XBBVrYRQ79AZseLnWUCrZTBAhspnOS60R260oz0R61vu2v0HkQz
5iRvKeMx1uETOZhcW+wPizbB/UnP8q1qZ4Y6er6OhOjMbg1KRrlXkJrvkeTJZV5E2gwnqR51ZmUL
mHH9qvU7KssQcXAWCMg1MHXXSpEAPWMd8VRq+n2Upt6a7IR+1Ve93GQTqus4TqxNntIe1kqkMocq
c1Q88/fr2eliovUoaUGSvr8O556kJxYWxPAl6DlrRuDkr+cHjTYmnPuZ/LWzocWZFQ/uMHc9hmz5
hqgjoM2sge2N65QWKbBC8iRmfQ3or4Oc+6ieFIOQxgrgyaal0ZrmjitJkEgGSH0ymrF67srGluUa
sKCNVxRbm8YNZc0sPaeXI1SIG5buTj9KWr30tecLunM2d4G5SbxNOneGPtBp1vVfRlrGntYRfc3z
MPeSCU1lM3eXvjZsBOSq/yqE3yuEn6qMD2Hm1z8oEd7KjJ3f5gEY42jNBqE2G7D+LBFUNraWajMh
4zU9lwF/DMBs8lv4RyCVkfbrKPrPKfWsn2FwLagsLIG77F8NwATzt3fyGZL7Zi26Cr8Z4wYJeu8L
TM0zGjY2wroOJsWo7qAsJvD9szHVlkGgsHaVUGLDYy1j476AGAEVt08uqmK4Dgi3FPTU0IRug0kD
qoy0a/LQ8womuOjIH0MCy0y5rr19j8add1SST/ElhyNJqX9DVtUjzz9WVoZxzfVaLs0M+CQ7JUCA
ZfAtF7T1+oyoxEYXLEZVcQfolaAdYnIS4nHZQ7YMNO8eyQesy1yNwHglrwzMmOhyN53BmB3YdyCZ
AX+q7eYtdO2jqYz2diQRLTRDjyixpF+pDRnNXtYV33Qi4v0OwHdjp56rFdkaRnrvIlvelpGypfPi
CVhl31SyEJC9eMYS6NJd6CtP+rHIxmNukqdmCD6eZMJ4nniftFJe0lzlJd1toumiNfZd39VfbCje
JsA15/jfjfh6I+oU0P9cqh+fs+/5U/hDzT8/+KZeZ/aIcQn5/jw/fluvm7+przgWsMyqCbLzz7vx
Ff+CGgOh2eu9+D7KUlh/AWP+xb4I88e7W1EyirawI7D55Y5nJj2vut7qLQQVqUx1XzlpkNXbJiR2
2ZyevT5gnmPhgWkZdVlatK5eh18whqsbZ56I6aJTmI6JeVLmvw7NHN5Zy7bWqi/e61DNUmSDXMlL
F/r88osARS9qXU4bv8YIX5uOuQHHN5uUeHFyPw+rrlCcdcVbNWM6/uSXvGhLfSjW+fzy7Zl0L7r5
hdzk/F5jfkm3sV49Fq8v7vkVPuGE3veZ2EcRTJWe9zzYbp2JgbJpdZCsg46adS4Kkrk8SKgTJPXC
OBcOqbBWgWN213IuKtIq8lfOXGhUI1XuOBcfVTwgjpjnYiM0BukzrNDnYmUy+iXa9vocwWpbEFmW
PHRzcaNpqJ9huhI6cM16OVgCoL6wr2WNTmWEcAAiTB+eyEV5qkOwZXL0F2YDqlPOhZWYS6wGZ+c+
ey275gIMQbG6ql+rMjT//ULOpVpXSDj3c/kGqYWMHCo6xi2G24DfKudiL2aicZnmApCsofgyUBPm
c3HozGUiWVL8UDxN4VpRMJmBPSCTEaAWtWU1V5nTa8E5DCYzt9cyNAp4qi149nm3kHuLTfcKn+bC
znZZ1XWbtKZA9GxFHkMTOeKicTwysPnh7KiVrXfR2uAhCeB1BJn91a9Sa9HjQV2BLXqItcYnprB4
UZmku43iXyWzcl5G4ylR4xzwTfoSTNayNHyGUFTlbkrIMfkGknFMhl9B6exd1TGA1S3i+rpovA0i
airW/xsz4D+cSrraYLVI6cd5dRm2vBGseXrm4czqet08dlah7EeC3DUiZoyz9QowqtRxFo/g3nD1
GikfOpvmioeoumy50E5dDl6lKq3yYJskWCh5vslZjYLwmNoNUtHHpBMMgQbiCmlf9v0ALg7PnYZE
2ZOwi9O1kjrfdaWGJZ9e8ra98xTjWBdCbxe6UlwD+x13+ryDJL1gq1hkkKYEKXxSCfBcSfncKMMh
TMSBzvBqDHKiGaJgUw7jyoajxjkTNpVdWWggpk45kDR9lQawCMPW8o6ZRNud2oWxbgP/luATH+5S
squibhuXfEkyEPuihzmvRMJb6LH86rc9d6AdnoYuZ2CZsWFQmi7FlAt30U52hFmvZFV9TSvMfDlT
51y+2ALJdZOuKzbFsDpctavJdtbVm4LgooDsP4F8FaozEFwQ81iI2NgMyZ1MWJCZ7R2jVclF6uT2
yXPwO3pyeilK7caa2t2cq2Wk6cpGd49QdIDUGjMm774GtrGxq25VI+xi6yTPdZzdyFz/7uCFAH9s
PDfOeGMqcO8wDh7HknjSmNwtvuM0wlxkIhnySUPqgE0ugPU/TeP4CTERnvI42lVtcJ7y4ZQiGaHZ
ZjuUb0WauzxIY5Cg6gUAKty30dWncZd57RIVDDlwygYwzBb1nZsWEJXqYa1Y6sCTKHyy5cyzLrYK
bV8coBsp8lPGBmKVqfmGZQ6RTa1/1hu6kM7fDrgu0ly56siwGpPwa9nqKOkHHArpi04+jYe7BPsZ
+poEd8Rz7rU3MPy4IlVoslCHehjJpVjWE3JWk2M0lWt64O1gVdSNvTY7a2n5A1YE51MSMbCF6ke9
36ub1Kxcx0OCBctmwWxqLZ30ZSzDa55wa5IP3BqirS3pj/062BnauAUWca9qDXRKeWvbxb0M6huf
ONE2/Z6NxXOpwipJBm0hjHCN0X1dM0Am+3IFTxyeD8m4eNjzzrjRvfRFUzCVVepCxcZfqOpWcbqt
rJW1GiS3Edi7xtLuKv6mArzLwrYKTGcoYdV2za14XTtyrRn1ngk1ByxXkLEHd8jqJY6RDI21/gRn
/J4/yoQ+bSzH2sTuE7FzJSLYRbP9tc5qN5PKAff8blIELht0YV0Vw0DhJREUXgnVcERDZIuN3kDw
a7PHhtnNWIidEIBtAmYoeVNtM+RTJJXlRBY7G7TQ932lfsmr6CZXtM28TAg9FIRkrPhZsxWNxdUp
qCm7CyqKQzEx8lDwVIRiKwfv5M3JEma6R4t4ZAwtUQAC2WGIj7keHmnPgFtiGHGuaK8fClxlI8JG
lwn/nVfZl7qqT1lt3TCJUBdop29by1p2BU6Rappn1MlVYuEJlqVKAKB/rOYH1ZTfj3Fz0CsLAi10
LCbqEUKlup87kOxAVNhdVYx7Tc8Pig5yEQinRxxumNzWtTm4k97sKxXTByYmGJu8eKLvODfuoiYV
Ox38EqvE5gGT5EKnrI1yJlKh9t1OlUXWlPdxFeyg1Jx43oYrtYo3Gitta4K6rkFVdSdVewisulg7
RvwprRok7UO8YQF+jmJS8mIQDqTDGGtGdVsvtlmYKOkqnHK3qytXsEZwtVGf8y5I/MjOg29vIm/Y
D7j4CqVYKWAvGzT6c+3PHcBeKeoEWwx/VQVK5kJ8ZlDXki7JS4Jh4rZT5Peus9aIwjfYBdaQp1ZZ
Dq6ORhqh6jCxFMsOY+Mfqsb6lFsMc6qGRAsgdA3SNsiYyp5wYq71hPuUmYiW7xKlOU5K/1BXxVMr
q5Ufsbb3kgGnM8BT1uli/6ak/cE6gIbwTbP2e4VoaDqx6vgtHMf6IClq+qqq2jBTTmq6Ddnq5fEN
u8zf9Wb/uHOgzv3BQWxNUw3GLqQMvy9DgQeT7GdqymmQ36p+07cPQ84cYpky8fn56fyo4DVQcP1x
pPlv8oaWk3v5qCEVVk66vA5MtmQCs/m0y+3PUfsY5rb788P98NPjbiIVjF4cWdb7w+kyR1KY5P65
Ux6b9lASuZ48/fwQPzojqmWKZQ5j0FG/P4SHP4ndbxGcweRF/aYdx1UC+jP1NyEbK735BW/qB2eE
eJymBYkbQzz7Q8fQAQLXR7UJz0wpFqFREhm/KeJfnBPziY/Xw7uDzL/+5luqPaWxbI+DRBVSh+oq
coLlzz+1X53G/OtvjtA1U9NVTE3PVXG0UaDG+SdPhL84yPtBx+u98+40Pnw1RcyYo0vr8DwohN1Y
RBgS+lzzgHsgttuuT3pb/+KIPzot1gTz1g4KqW0gQnx7WnEo0zCLtPAsykup+i6KA+G9/PuPDveM
bWI51yGCffjoPMtQbNlVERqQgFw9BrG52yd3Pz/Ijz46YEUOnCkNK4Dz4SBsqIUIQ1iCVfGQ2YTs
wtblYeCQ5d0eTKDIvXf5+RHna+q9KotjvTnihy8rAIBTFdoYndUBqXf9hS3aLx4G89LuzSFwVmA+
EzPhxGESwP364eGDRjiIg0FLz9FVtQMc6bZHNiUr6xLcWC5QzTWQvPXPz+r9IX+/BN+e1YdDYkBL
h4Yw0nNn1zjymb6jTdTz7c+P8uPPDr2NypvTsmfHydvLzp40WzSpGp1Zvru6dphV9T8/wvzpf/x2
TG2+2hzHEajx3h+hYCCojQzUz4LWd5Q61eZjaELXjqJfnMuPPrG3R/rwgKMjzitN2NFZw6MqL5Z3
W06/eLz9+BBMXzVHcCeJD5daqMWdNCc/PmfZycKzMpCbjvf3F6+6H91CXGx/HuXDVx9XXdCMPkcJ
46cEir2hrCqMsdj/4+asxJvE+sV39LfT0vEOCVK3mTijETA/lAoYxATZX3lybrpNWT32NvHPNz+/
DP52oX04BLO0txdaBk8VSHiZnLHoLjQFFW9k/eJj+/EhDMldQ8HDnO39IaJhILuWTutcJ0/KtLP7
/4/R/sdi52+XMueAExXB9+ypAt7x/gA8OkWvZVN6ps5LW8sNol1IjFvmPL9+Vv+Z4DSu5H+eyl7l
9f/8XzBUyXP9gyUJP/rHXHbW8iOgQG6gMxzn0v1rSQKJikc0VRtXE5g2jafNH1sS8zdQ2gCq0AGj
cJjFEn9uSfRXmT+5XjzgBY/6f8VieX8zzWoM0m5meQfGGR6q6vzrbwqUSKLA7TMnum7T1WSJhRds
zPLLmw/m/Pvj83+wfJ1zSG31//lfgED5U/56rP5+FCh9Fish9Mjws94fpfSQX1iTFV03eRQmwCRU
WEBONYJPMvR4FRn0RTk77CsxQ5zaGeeUTN6hQ2Zwg6T0koRyo1tBeNWrKhoJDRyUJltgv1qouiqs
qJ6g3bYLjuEMVWq1K3XqL/WoH0sYUwPTMxwKezVCf5zOGCrYJc5azDwNr4XSH0Kr0gYwx/YMsIoa
lNEE1r2EM9yKBHs4V9Ur88rj59H2kghDjpe975Up3Xj9wNhNqYlzdHRMxu2Uk3bQZLAHdfOzZzhi
IxLLeNRTYsQUYJebUI0DexW0ZQEyZsTxluca5FhJ3tXWd4it2WkGWQRskOW1PdYjK02Sd4iOkEGw
aIzCkJ8nvbRhhuvJplIm29poeQ9lF9cTz5rSba20Gb2FOljKSZa6cuTPR2EXIiSe0cM52cCSreoS
hXVFGhC2DVJ58cQlZrxvsfvKM8erjUd0mqI+6GPe5fiKjZtcVNZwDjQeIqU/OvAebLEHT+0/AMoy
v3TY0kjbGEHdNVlr7ghEtsBw6bM0WQYd6g21r527PJfko+GBWBHbZS71YmAygzbYLX1/3HW61V07
bStWDZ/5FUyX+muNoGYYySkYB6bQThnuFExsK3wzLNOSrr+BNb6P1JF44VxzbrBA40eMCMOSo4Nt
vkixpsfmssuhY5XhF5Sx3RVfXbe0y3BaVaCCENywvx+SIdzbUxusMJIxF28Szc0cQmrroNOJAS7r
jW10295EgRoMen3x2Qkw3E+PYZYcicXJ1mkVXszc2smghQVkJ1vumHjpG+q5dvrbRhPdnd8N8gVA
OxqgeGn3g/2Sh+3SQtEae6X2SVXatW83axJ+45WjwL2QaI4Hpom1XXyv6+Y5C6vnkYx5dnbLyuj2
qKPXPEAAU04bc1CPo+xgvjRb6sOrCf44JLhvUH2Q6ijrpNeQvSAxb8cnAiEZ9T55aqstezsxNoPw
+UtY3YNlh9+SyTZXdk2sLioNht79dKWnOiJO/WgXLXuS+KHg66sbg929FHA3bIatKFfV6WHw6pWf
ejoMnXJhkMi10OpM3UVseJYa/jlLiDPneGO1ICmHcPLR5Hgk63RqeAxMlKOBp1+aJKuPfdkcfH3g
Yp6pKeWgLmJPcJWl48HhJlJzQaFZLQeyvGRhXJlD/gXtpRtb4rbV/UtWFlcwChC4O1dp210CB0WQ
jizdQ+To+3j2xlhbRFj03LbCKOhX6nWsxI9MlB8xK+7DOj7kidzDQ7pMvbZMiCHKk+RInrVbJuV4
mITYFkqIXoRQrTIW29axltT34QK96WJECCtzZrPllGV7YuG+p6Mn4NJkzMd8sDDWYMSb0ik2Xg3y
exqV8hdl+Q8YqUwDVF7+ZD9AFOXf75+8wail9WgnZIyUsb7qEmcExj3Gy5TAtqsmZa0kOjKy8iCF
GTs9a0VZX8oyVj/JSSaLfBhu2pmcNHjL2BFf1KHZlIH9ksURC4oC8rwfkROHimqdT/OM2QvJYrJq
HIaSeLYSkoSQzZYgm2+E+7UuYdufdbitKwjYhquxb8H56PalWw87rYhRIXkZs8pqo5vdOdHzTZ2K
72OS3hKEsG8JeZrqZM8Y+koUOUYG3dk0/UhuyRhu9YHOt+5oeD0CUAIz2vi8l5a1Wt+YY6u5RWDv
1QAIC+ECKqEITN6jariLws4ErofMSx/1kxky9yxtyIlDGB+7YroO6mgX99bGYmSIhr7cea/uXAku
Cvn6GuTAyvKLq4QpPlmn+KmT/pC0KWWwjuG2AOySj/U6j6oTsu0bcNdIjfB6Lu1MgS1W4KqpqnNo
oMBOJ4SBVRXdmaMJKHUIvzqE5oWYupFSFa5E6BbH5ZwnhjeMhZKpPaCxX6YGWC/H3PY8h4w6/547
4kot1Q6HuvLd0+xpUehknbdsyeIk1XZKMT/LmqtQ2Pe6mmDkHYmcQyI1prrmRphcV2bgn4wJyiSZ
xHNcZCS3RJK1n3PDwB8TltUxITRz9/Mi4X09/FoiAGNBF8LqGgr+x6Y1mqoefkhKtFcbLo1oX7GX
+vkRPjQqM5nQ0tCLMrCYFSgfl9CGDRJYYsG/TmxWTfYpbENAizewALgSEje0y7UTrX5+TKSv70qf
Vx7iu6PO5/2mwGqLuClMQ1GOcNZuoRkjSuW/8Fa8901qD+YBkdtI64vtGbv/x96ZLMdtrOv2VW7c
ORzom8GdFKpvWGxEUuIEQUoUEn2faJ7+rpRsb0v23g7PPTlx4vjIpqQqIPP/v28tOaAxlRPWsryE
EKWbCVzOdvlYad456W09xD1B32Q03nxhe2tuwo+uX4zrOJtPXm5/Aic1HY2cjhefprLaDItXbvxa
a9ZGDRnfK+f5MEye9VaVab8lrGptkiT5nPNZ3TS6K9Y8ged1D9QxlEPwMNj5QqAveyShZh6KGL3K
3H8h/LXnpfSha9ut241c9510b+lCI1DKCSUfS2pWy6CHDX65dTuyZ/OS6d4UJXwnig8sVt0VtqMT
H/qvTccKs6uTQ2tre+KfH6YFTYOeHZ2+IhipdMVJZME66RM0agOF8CWlr4HCdY7MtZUz4beijKes
/izZn+KmLi6+mHZlO25ktPAJxhDfx1Ss4JZUKa2bekn9dZtHl1qRmxyPHjohePClD8KlxDVRLht6
it6W1evh4vU7jSrMyhiqVzduwDUUdw2FVVAl/aozjuxLmOI41t4jRLiuoTSUs9hPEWJC2Q43tcs7
EpXqoW3td9YbwPfYnTSOvYtr++yN+d9cjb8Jdv5z0P7zp00dxP/waQNi5Ulz4dOWnsvb+EbbNqfm
adwtB2fvnn1ePeFnc1wRRryUL+PfJfp/GhH/+gUj0kQazFRT/B//4zRW/TLzbe1Sr51VeTbDesvU
wThpz95W3+iPVy08P8sNpT35yv/Ib+azvjom2+hGNXH+5qf58WLz/U/CIvXCnN/lGvXzQmHWR7Ks
RipuhH5bW/kq0Z9b+TcznB+fWX/+b/w0Jljagl6/yAUv1/e43Qfz38wK//L3wKyQrJxtIUT46W+z
mNyF6AR7z0q7bdiBtw5nzu9PqH+v7wYfz/9+fb+8fnlvX//i5s6v+v3mHqjYFJB5wyS1RIzxPzd3
U/8F9jx3d25skJjUNuS3m7v3C2vWwOdvTA13vuWwCLH24v/9X8v9xVPNB59fYH3HS/+DVJXtqo/X
f77siqLKYAcJFp1hFBPQqX/8vgGkmTuzN2ICCwXXWaiafQcqPUc7afX5c53REJv6YL0gpvTANO3K
IubVPex11JW2cliOAXMha4R47+WnCez9aglSVE9Sp8ik3annNUEo9Cp+kT/pypMZJUGwsYkTGUOd
8qoYbvohDqUhP7lINg2IeY7J+yuJxYsb5GuNy8MTr3J9X3J6i4sxCr3IAUHYG9V2QORZsZTDg2d+
Qotcrhtl++yU93PUXDbkffRVjt07dX88eywkNn6VQtBBHFpl4g6L6uuCUFQjEsAZDscoy81lkwH4
cFz8owOeP7aoAhqjV735SEoFstKC1OqqHfktDspk2tXGrYbaNGXxXKE6TQE779LW0bkxm7fwZG71
0ppWSZL3IFH7Kcw5Xexo5FMr7cbPSDsBihlDssqEn28X2o3rXE8/kJm4JaSJM1OH/t9Z0AERVT10
6FqLwrgDrtkC9kSBrKF0FahdRT/BisV+7I0Cp1kvD7FRqzAOWWwClcAhBwegadJBrBT68ogvnJJj
5YDE7b2U+kNvHVkMptsgm75oyj4bS0HOrtTJxCs3rTX62qZGV+s2IE9svyaSHUV3s3LaChRWW+JH
eG7zglSFct+WyoJbuRoxI8omicchtnmZwRbsuthCT1ALLqcxy6wara6n/Lo20ltMuxG+3gavk4eF
l3Px5z4QaH+VoReWWrHJlbV3Qt8LBfPgxizGkqxG8hjjzwECt00TmDHUJTdJZPQbtQg8mmZzz8WP
wi8VmnWqvMH+QLBXVy7h1gQ5Gw/L56HVLTyiA/Ac5R5OlYUYjI7HPhkz8TL7F0oWwdqf3Pe2lviQ
AuOmHCm/A/hJMbil0zqWCabcmLmUobkPJSJkqYzICXeoFcm0fN93E+mTeHzQlEE54tbHQrtcjQUZ
YXpCdCeUcblBvRwpBzN4GXuvFc6nIDXfuO3sPOVrNqfuokEj5s8ZxK2N1HkRzdsckDXzRo/ETNkF
7h19md4+Qvg26Gzy4U02Uwv70hpRW4vniTTklqhUxfBkAGYOrWa2IGd6Y/FpVCxN4pHGKlJ8TbBs
T2QMsN0r9uaUaEQCoXFWistJl/WZ5TG7cJCdjIjohCiKp0FU4kRhtFk1ivGJB/PDAvSzdevzoCig
Q1V+TcCCmpY4lKZ/kj6+B7ChC/hQk4uz0MRFV1zRak4JHOaMg4rWvtcrV64NxSGlO3vyFZmUy+AB
lxms0owfPIj3HRBTHZipC9QUYIB6NNmbKirmY6XNr6Y65DUGSM9m6sEkz9I9JksP1zSeoiFMvb5/
Bocrq+0kahuQsNZWD9Y4dE9cZUcmEyZmTlfvZLunyuq8xFnlHPuuzuPbPM5j/9A3mv0Sxa4ZXVKS
ErsiyPo1XP5ng8nExplMPhpRnIP6talIVnhDx5SSxMjnbuPUXPr5FH4a7GG/oAahHuruBSQmbBSU
F8YkRr9dRXc+tc+ppD+PN2cJqa7d5m7MMRvlyqaoEx5PGWnFIU6/xq1317qUxAD+b2dYKXvsgnno
1d49Mx7mCfKpcQjg8S3e+RH8kWCgmKwvt4GdnIZsdsK61l9pk4OuLUcgkMW9MRp52PdRt29AO/NZ
i65zppvh3GNR1PDurMp4NLJDqWS2nVW+epXEUGCS+/Aw3iZZ+mZiwK3SCU6wuS0b5AILjlyYTnwP
lTbXw5+rT+eSuWGR7X2KR+Wy47a106R/jZV6V+LgdXHx4iviQm1B3sbSa3BgWxlK3JvLho5QMT4U
SuorlN63VaLfUil/UaYXq9RMoLNAcJnxAltSN8JirMaV6Tb3SeoALmu9c1Q3t5XSCkOfZNpM46oR
5o0tABk7McLttsX8h5U4c+mzYinW8MOGle4+p778nI6IjMkHnkalNuZORuJoeXYaf4U/9To7SJBN
bMi10iIPab1NApWD8pG/w9LCrhyHrlbR26VJWAJNDB1u2eVMwIbRFHhnCN1YmF0JnmlUYmbL70+p
UjVTmQNlPU/bFouzrXTOQ0IOJsHwjBCT5zNdvUwCHNCSBwKDZPKIMzX83/r5LFFFZxZ/1brfbFpl
kfbQSRdG/J4Gwd5BM11p/NMI8XQvUdAioi7Mf/u0/5d+qeXo6q71v86T2C7/4jjJL/rtOPm/eTHf
OK8ua2e2z8qu9ttxEvKhqVOztVnkqz0Nh8DfjpPeL6w/AxKWFhMNIIvGPynUUhX4+ThJOp9kKxEi
9VPwL/zxOEl430Hbri9XqxBPjcV5J2dUgbG4YX6wFFu/ccnBVQdnhrw+BU+g5WnkDXhDisD9kPr2
xar6A0yGTSP9qFt7XkGNMGG6+phXAVBaU7+LtZJIAg/CYA2XT3sz6W7BFjNUv9z71jV3vtXOVQG9
U1X0QpXSdVVPrwb3YVSFdV/O18CBWDupLrsAR97Qbp9puePde7Q4Eq10VYDXW84XNOJF4h8NvKUz
Tfl2gZWiqvNxSjCYLj2PhSdTdpTre75ZEX17WbeIV6Py66yq+IJOfqTK+aaq6TvmdO3p7Tc5hwXn
W5WfTn+jyv29zgg7oPMf60QVOckBnYchDPBQgxYwTpUW0mA8GYN3teAJDHAFlkGR8oRHAxPkgGHK
UyvrZ6FYBLZHcD+37rKq2/QObsQEQmoLv6Bvx61UQAMjGnlXVF9N3WDUkNwHgzqRWsW5jouDUcxP
GWwErZJf9ZYjqa7NXmha4CWWhHqepmU9WMVs33RITyzhhqi6zXVkMqFwuMZfzbmew4XtFOFJkuCi
GsM+aFNGKCxdClQLGz/LFqQxROBJHnwWM2g7gri7Pkr1VUcKvfRNnljWfhjaa5QDErSYLYEEbht2
0C74xx3pci4UTl4cLJLBXedc+gkgvVWZZihKubUJdGZ4DiEsait74OBXTq+xW5F95V0EW4dhPCLS
UdDWEJb2qre4V1rZ82wFFGhQm0bd5V9Yu1LB0Lthaw7CPeejhVu0bB9Ex2oHvCc1SDiVlEyCdL20
w15gXEAQCgJeJep9Tus7ZrX9lniqezOwiPQ0+wB974kF7V4fzKdR9mBPRKev+840mGWY6bkmgMkE
FjaYcHDjQSoiWDqlNjoJLdrN5AZv6sky71Dhcj7N5C6wa+Zf8bHIgKRPjfnKWMOhcDsnV1IqY0iC
aTv7xXboSbPjDspDZyzfZiLupkw+VrG2SoBFbGLB32eaz/mVaNAqmYrdHx5qf7HK/WkioZhSPG1g
yBHLU7C5n66ctTXJLNcC45oXj5n9hRjv3w6C/+I/QfSG4iBNJUNnefHjY2iu46nDVWRfs+5tyG7n
+kMZnL/9Lv6deajp8/9+RyGY+Iuph/p1v72mjOAXS4ffAL2McicM8h+mHrgYre+4MxJY/3lLeb9Q
LDMMCmM2mU2VSfjDW4pRB6809v627alRyT8YehAJ/vktxdiNSSNTGYvsBJ+QHz8eaatlpreY4lro
lJxh2vbOy2Towj84bVnGtxUn5eMyNO6LK+yRoZxW0uwfJ8LMNEO6JwBW1UMQJA6gI2sYq61Vev1z
Zw0G9weGEBtXUJqyE+1pMnn4TPFih7lpZqE5ubc+xOohNq6DREeZz69jvLyakJP4pt27nV9s4Fzv
zLxIeIBybzcydzNJTOBae2S6jMmvow7FQrYLY31+zZqWcfhI0oxlZcc4GeoPvM8cXK2/hQg6rbQS
8YwzBAc7JqEqMUPVhXtPceK+SFxjnVlsx6LpBotGvA4k76Wyeagt80X4qYV9hncFqpMBeNmy7Pwk
KEJ2+WzIbOc+db2z9LuPZoFI0C3zM8Lj0yDQUTSR6a/tDuiM3cYQAUYoOPWS3cumBiO81BerlZQK
Sg7rrQIztOjCsSeoLn8ONqG3WOhPZZyfIezReK0/Qj4EQWbo9XrQ23eQaTMJ+SkHZjrs8y7dUcTa
G9yy8GqkXGSC0LYBgTNE23KEhXeQ8mcAahFIKZW3fVLyv9lyojcQVE+lyL5wnL7zoZL5df7ZyMQH
t4LX1vepfY5AqlFau0tqBkTS8UQI9yNaxcDHY1VkrXL7XrjuB7tF1MEu4AtIrtNC1KGefVbNus/N
pfRogcgqXVXxdCppLvb6CPShKnd5orFBtocFSBDUoaYEvNax2SPKteXGtXHr/qF08HZpkNZWQve3
duPJm0ENc7y5o7fY2oc+c4snIgnTus2Gu0XyLnMscVNS4Vk1GjqJdB4e2zl9i+TIDF+0w8pBpuO1
/jMl0I9ehO+NAwkiIdaE6sfQ5b02w2KPlmsOX44h1jaIbvmwVje2HM55kN0us/uSuMwPSqTJ23ZK
GEJwzQXeNp96l4+d4aTnyqx4+bX84Jr/rGFGWvXOmIRGOkWh1ibbbMxunLq4WkF7sgP3VnbMMgg7
s3j0bMQ7zYtN2U845mPRI0dzKzpe0r3OyUh/0eVoErB2lg2Hx6j7QHHwzdWmS+sO71RwPnS9B2DK
PacyMw668Ogs5wGik4q/hygtvuQGpUZzielwTzkAgdK98punMjaKjw1M4ZWhF1czMm5ZtWwh271p
WhT6VQAsWMAZKCByKXUuVzOOnUVfPguX8TqvTRPpXpmfNHTHoKwxm0Twb0KvKF7HKMo2/ZzfGV30
MdeqGZYiK17qnPvAX8552V8Gg1rWYH8a3eKV0yRlJP6jIyKVOlnnUXAQdX/tcn1nW/beqjF4JlGO
08W1V1CByy2CtLVtKjOCAY/FEcdg6K1TYrTlXYeuHbKwNFSooJRgy6wFl0BDyiP1n4eizBkUFgZX
fzbs2ybXeyqS/PRxSVWwnmzzdpptIMCJcSP4YoX8nTvX0uNk4kjYrcxapuelATveGkZ+Sm3kQj1/
BJsx1/I94EIKDISLLOpWEQ0e6fZi32uWRsSXLAPVIx3mVRr9Wtf49zVtkX/776/ph9fy/xwrbu5/
daFUv/S3NzVLCAy7Bp9AE9K+p1bmv+MXDDhMLvdFj4TZ95f4Hy6U3Gd5v+ucroA0/XChhCL667/s
G7X0n7ypvT/dJ0mcBBRFCKRDifJ+zunSJCmo9M7tdaYyi2jNHIxGrMrSTw/uIMprYruXRHjixnWg
gpBju2vmLFgtsX5vRfZ91g7vlV5DXJrEgbLlSXjGlivXOeMDrMnlmJdQmkq4f6ZHxMee3mYiQDpf
4pU1FDcwWLdR7J07oW2rWbtjufvozeWzM/WhHzXv7FZoOvl86ctDhlBLaBpfBGEdHF88tTNPbVuH
N5rfDHOyBqdzM3myZ8swnV3a5U4L6TyJH50m4SVN5ytvx7cg6S9RAC2ltV6sON/Jvj+WkQvIEeet
3dxEQtwEMBUDjhSxqG8G+pZWxVJ5Mp/BbOyFAe1pnldaVl1TI2XrZ2zYw6+bblkLXYJB7W6FGC7x
OIey8tFmgGjJ3ZuWSBO+2a4NzE2RjqhNhuGI+eM1osHISfo5TeVB64K1dDr0RctOS9M1aZ+VW7cP
JAzhsU/JVe3CM4/LReo+Ol2xX+buvvD7t9KcbjS/vBFRc5YuKntIMhCD9kNDBTKuv3ppjc4MzxtP
OCu27z3BycenZNp7kA3tHBvLAGjSmFlFR9mrVdn3QY0+HKnpKuc2PGj9OTaL9RLLQ0v8pvO0+zQg
D6RHT3YxP0JwgojMMLsRGNYytHoi0hueyc0FGCGd9rGZ7nJ2GesqcV89Rmq7upl2fg0yMJ7qZ9Os
BaeY6Y13Membto31ZtPNwbhsos5v030alOJA3KBNr/ayQOhIbbe0dvR2gB3xolnLqTs4WqXvqobM
KTaS+6zq62NJ8zfsGnybBuDly+Qsci1ng/DGRNYyKGMu1NaS3puGuctMvUMYA8CuNDoF/aAOmyB0
LTmZhXC/aM3WqO56X0/DwRvtfSRLByri/JDYc7NmhYIj1EJQtgxU96q6QeUad49+25NvcAfSpzmX
SZ+c55J+HR2GkoFmYiuOPhO3JAhpXxfT2dptdgPfdFxnowyxwL4Dwb34af+sjfy6Szv03JRnewib
muOH5cbw/qs7s8I/B7RhXcuuhxnlGuEiVGmytt9iTIsrvVUcyK4Z1vAWbpJWXaan9Eugsf2nL1iE
UlJwzUz/Pa6Dl3I2H7lhvvPzc0yr9C6cZ0KEYDnjlSiIaQBeE7gCaMvL2kCR2q6ZqV6lKI5kXZ7s
af46eDowI/+IJQ0DnDZsWDc+JYu5CYq8uZmjsdkSbxM8cTT3UuXRAxAVOhxB1m1MIeFH2JzsCcd/
ZHbPn3JTfNEqH6jnNLb0cONym2bTIdLyXcrOMwwW+WlR8uq8n66J7r0xIXibbMk+fir43Hru3nLp
MnuIb2K/xRfdmFsOowtRF3MXVebHvsENx2MqbDrnkMRDR3s3+TjHFv9yzf6cRA1UWwozvPDftKFV
cVQSaJG+bsroGesQzrqg419AqMZmdmQNmhnaPUfBpa0/iNEq1npKH2/CAbiaougjuZiBMW/k8fmy
tk2mNasgGPmKJtkcVhVfS2gYHT+e9bXQzWknI4AOA4ilJMO4NxbNIUkWl59NHmu/u04FKyEiPWyB
LYzc+o3o5VOp68d+JOXHOADIgTannD2ncyb0B1wKJ6cUH4yZgTXAmXVJ1X/l26O1diftjKLCYMSd
PQKsc1ZJUXvr3Kux4QmRldt27GIRahWXKjyVOk5CKQ423DGRk9Qrdch3+sIwHVxGsiq7gk3PYB7Z
FN3VRQcHzJjyu6QiB/jvyOA7e4bX9n8/i1wIDH7+81hbscR/O4UwL1AmgIBxgRqSO/yjP5xCaD5Q
ezCJr3xHPf16CrENfpFHys8hkqqCeb/PC/gnzAsIQlqAm8iu/rOptkJR/piRsCHW4XgzEGZx6vnW
TPhDIKqpGpYoIhW3zQCfYd9kI0sWx7saZiK43MSaIvKDURrddjXUix6w9vfsaD0T8IKXrBdG/zC6
Rhx85Ruzb7XSil6JBqfgs8cy106oFmBAGSBAsBAQvIpvIbMmBSdxW9QyNAZz4im4OEuehHkXRGSF
2YtbRCZml5UsJ3zAubB+B28hhZg0Yu+xreRZkzoKzkzkft/ELSbQUn263WbM22vMQpVCrDWP3ib2
WaquMt9lZd4P2rvDGPD7zO/fY7jNlOq/f/Qfqvz1r5hL6lf99tlXnis2btQO6cJ+P0v//tnHc6WE
VZy+FYZMHbP/cwJX/6+O2vh8twv+/uG3/F/4wHs6UW3bpH5o/yNPB6qtnz/9RJEUao1PPgU9T/9p
XGv7Rdragzlf/T5ub710Lu4To8bklNvmcR4zUr9oMbZ+L/XLCHN+ha9OsKOUy5MXjP2D0Kt8tyxG
cnLZW288rYfox4cUU5B+k+cw/aVlRGfHgSxokdZZSZIA9npYekjhVT3tNT84TuZCAqYXXFYxevC2
08tdWo6RIoIyNKq76aUQIj5WjSAzTqJ6bZa6ylv4dTi381NgNqHIrdc5Krzj4Br+tmfIdyox+G6w
cYDXAP8TTnBcMmuoVkOSQepxGfoJvHeWawJU+uauAaLWm4B+0vd6Nkb7rsdy0yxLrE6wn4QS4IB8
DwmjHNNqCUIUxNnBXAI2H4w1b2Mj/qhj0kkGq93adXnnKMlOovfarlfinUUpeISAz53jXMSP2B2I
7CLqEcLeZXlpb6TS+LiG9FeJE6P2KbBpRZW8W1pA0nUO5wE07bLSHGcDRqKiRhvcpJaTAZflT0dT
CiEkRtAKErRCHZArUHSohhqcQ9wkXpoaCVGBrH6FDy3dGHF9FORweuV7FhttNNp1rmX6NnKNfWpr
q1lr43BygCn1GfiQZahfZRWnl6m337mBcPjQGVSRlvLXPOlCEv8PruXdFR78zmyadqbMn8x07IMz
3mTIRmZ+lY1xW5n+kx53XphbyaHW9B1+e8opjbOJONOtaFNBupF2fGHhA/qkLE6dZbw7jrIQuuOD
FHSdOhP2daYzDi0K/QrXfl8W1Q7s3jmdgksNIUbwYN0secz2KXJv5yjdLnFyLRZAoS4MoMBWYltn
vjiciMnBPdJJy9fLZJ/cCGTlMkQvhdm+WaPRkKbyP08eNCVnfmRUpE5Q2K6quiNOV5ItumkyB+Se
qcwZuDfbkJoFOg38XOeApA3fiiLJzobbcB4b5rw61gFgF89opzMxkuTw7znk2zlEhVv/x8P49TM0
J5RJfyEeVL/yDw9kndYkc49fAdQ/HEbwsajzyK9o6j8+kClg2pw20J/QmFUo6d927DyQ4V8z2yJH
jM8QPt4/mIlA4vvzA1k9jqnj6iwv/lTKtVJZdiCdxusEcTq0h6TesvpONzXA58Kb+i0gt85aTY4t
P41pceLhGOxc3fco0yRJGGH+WUelb0DDczcI0opVMaMTdPVEO+n98upE5kJ/rn/H3tGB6IJXVnP/
4cbgXqidQJmTVrOtJ9ncsOPbpNybegFWVueum3CjKnrzaLfG12yan0ZuXJ6dAUHmVmSY+yAhChak
nG0SdU1Lc4Nvkrq6TbrNQkMlj2zudalnP46u9pJJ7X1UFz8VPQ2ncSZYVBVfmoJ7XqZrN70uB8Jg
XB3HbERpErhvs7pWUt8wwlwNW6S6dA5z9STULZTbqFu1pIu+XVDVVTUGOBtf4uQAWuy+6dyLxZV2
yQvuBrcMnMa1xX23DNztMqXPBZGiiPswmtcPUl2Q9fTrHNs1pR7zzofAR6QQ+5/kVo1IFNCVumgP
uchJoebTqgmsZt1yHy/i3ln36oreqcu6lYt2o6sL/FKRN+PZzPI4SoON1rvd2ubGnwm7WxWatRsG
Lb13jNxcT8QeVulsM6dOCMM6FSS2Vg0SUCZIHLlGfVy09r4ibMgLkcHDoCYQupGsW4ubEPYKZz9E
wZw9lbHmxRezW4rntHOopuZwxvjjk0s4WS6GAAifG2ovX7uAWoKQV9GTbrAKBuyXPuq74KUFa/QF
P7qnYULHV5PYRrR1Ote4ejqquE7pImMTcWStFJLFgkzSxyrZglLk5Rq8ZCyZQ0epJ0clodRqdJTm
7H8IyvFgFcCb6HHu8gUhILPlR21AZjnoo7WZInQ8UqkuC7toVl5nltcODyYlCdDjmDEnMVdUMRIv
rElDhKkSaKJ87jYojGu0l/KtU5pNLzNlyHDvvTYE2CcbkHRCsFPzlZ+TdAp/9I4RekE/7Ful8TRb
N39o3Ia3VeWVHzKl+6yNRDBBRNWJCbTvXY03hHJecn6YXKDeQ6SlaltYMa+Yr7zyWIFYLV4EdQRx
EnNkbcKxZAa9fOxn/ZU3SNiI8YlZCukKdZip6IquYzuYV+ZkawdNC8YX2NrjqlyaaJ34fbmb6ir7
nFlOt8+HEep44x+zUUx7qQ5Tbc/QcN0uHNHIELV3ozp2idgi3iDnm871ApK7GvnRKuGbCQYdp6c/
rXuTEqXmI1rqjIyNljMtm3/fR9/vxVxJ//v76FKV/Xv7Pv/F1Zhf9/vbSP+FmBXwDWAinPbV2+D3
6wEXYLRcHMldBuTfpvC/XQ9cpvpk+dTx/48XY+sbHTmgDqK26BznnX/yKuKd9/OriIsLX1Au20Qt
uG+wPfhjVaioEWnPhu/eFNYit3j07HWle5884L2VNzyTbnzMlrsItC/5wo0J6nfo48dIsX9ntTyt
eVY3YIHZ0oEItsbssVDMYEPRg2cwwm4PSpVIy6EGMKzH6MjroYLy2oL4VxRigksvmuISG4pQjJF1
3KSKWryALx4TGPVR3B7LEcZUaonnAvAe9s5PC3C+vPZbpu/N65xmd4GwXlvX+DjJ2QzdfroQbazC
WWQsvpr0NAy8bpyiks+z7r8khDdPJSqBjTHC+tfr9DEb8hd99pYDR8ZD1NEdZb6/XxrzRXbFTVAi
FHC9B4bKuE43TUArDWXp4yCST36i7Ue9eu5aLT56Zr0OOjssSol4nDpsPt9Mc3Kj1sPNzGuLm/+X
igUgA1NS1e54E6hNaJWYB7vagq1d8bijLf+gSmYALPvsU2Myc+RH3HXdwmrTkOvcBjvYc/rkNG6C
1rOjVeV03V66QRlGowVGTju7RTWidPIkXbNhM1bpfY10lgzxsrUpRIQyz3H95l9awG88IDo2vK2+
a91F8Bgfbmc/2CONc1c6I+idKEFYJlBe85L/Xk723YnROHjtG0O4hHYtzCR/WVcg65g+BiqWf6Yp
e83r4Kao7bWbOpyl5/Q8xupy5609Z+FcbQPEzHVy7aXascaciEJ3lJDcM6qvudd1YZLgRUu8mg9b
gpqpL4g0994r4NQD7YR+O3TwJ0m1Kezv3ei5XegZJBsaCxVC2oR2k96XRpGuBX9zWm09OqSDmwIl
Opgc/9xoxiH3q0udTi8Ibp5E173VDdJwY5yj9eK61C1wUnL9JCycpf1Bzn21lsAahoSp0eIDwE9E
cRdRQAgzOe0ZE1XbNqYKwHJ9XGXVwTIT3hme/5W/j1NV11ebS0NGPIQTAGROEJ9UMjlm5NYDYroX
SBan3hgv1WLKFfzeI9H9s46lxCzo6ed6ffCl/5biiA9ETP3EzGmFdB/GLnmoB+0RpNxBL6vjQM+w
ct1DhiCBTfZL2eWPbtbwh7qMZ9tqT7zELoMk/QeX8i4v5G6KkrM9MKNdxn0dVAdDwXtmm6mTOMY2
WNJ2tk41reax0291YefbYWnXUdx/HD2MIJ29bJO2v9aDOnct3pEl1L2T1KcskXs7mwd+h8XA/o5y
td5e4toDOCqBEaOcAG/80FXdc1w2p2hKL4OwUaPN96We867iS5/lgvVO8hxn3s6Jq33hJv6BMgKy
N9RSiddfrJIBve9ZdzZ8VLDYd4UmCXiwHxJDe2Bt95Ghfh76eo6VzBzuR+GcB7WgoLnPLnIpPjKB
23uDDGvOAShBtXDwSw6S7sviB7tRGzd9MG7zRH4qyQZ2jv516eKBOhDXT4IAiQ5mYeUtWlncmwmF
CnT0OdP/CuvbPFnWkcYLjAk3P+Gc46KcHaZ+QAhnBCchxNWW+SmK53EFgPIyRrRjkqB8k0lPVbPN
bzQ92DVVcNPStydJMG2LRjc2iWM8JcZwnoBuWJlGEjR9WNRfIcGttxq9RdXF5PXHkxFrz5Murwyw
bvSMIL3r0XqZx1dTI0ab1DEA2qZeNz1/F63hbMshTnaNj8bYsi5zUPTwIdt9VqU7XJIj2yjjiTnY
scGxJQSNmU67k8SQQtP+4MUsYZLlLc29h4U917l0mvqgx9F9XZQXTWV6IxSM9uK8GLW788xoZVsE
WtIezMTIAnSvFnumGb9nM/UxWG/6afbmM5Ezc2sYtbPVE2vHFAHxRS5qwligbt1Y33fF8LEbk4em
XM7zEH+I2m5fagvaOaU+H5Mdv+cPCGKe+0bIw2TfZhmbK12GZurOPFamnWNXHOniD4m+sJlz5V6j
9dwv/qHt3LslN/ZtHPBHY1y1pi1XAqisHMwHMPyMuAzI/n47MqIxsJ5Y7qXLed9v8k4z8w2nuOTJ
KZKeh7/rncySjVbh53IrGhR3DYDrxJd8O5cz66F55bb8lua53rfTvPPiMrglFuQDYZblBq0agALJ
sjmW5HPkULxJSijsKVNuAwucayJ4eGTzcCJg5mDciQTdjiknDFvJQB7TfCrIE81fy5abBN/iVTbT
NbfS1li5CallJ8+fGf+YDOVctQQjj2IIVrGrInWpOxfxeTT6+lrSvfmYGh4JK2dptS1qPueuG/Hd
5P4Cv3zMbdqCkibHph4XRi6GdgaRfuR+cGv6mBWndOOZyxOypvu4aU9DY7IstMrQzPGNlEbzMRqx
yMNI3bRGR1E4+//snUeT21iatf/KF7OH4gK4cIvZELRJMsn0ZoNIC+89fv33QFWqllSq6qhZ12ai
p9Upiknw3tec85xh00qUN3rTvHZR66qx/SQ9/dj18LrR1YD1WDceayS9vgXWOy5tK3jhZL0nxWAL
YP4kDIITI32P04Z0IlbIPEi5WytkPkzG3grTI3Ai3TUJloyQ5CgFkNuWK5qRPIzhyjtFwlgmcX5N
8joNWjrtCt88GEO4VSsAKnGxSx0c1bmIl6HFcs6M9CunT28adPFdPgJoyLLbDFe8myrxnhjynRDK
0ZGqSym00YZy13jkNsbBzrfKPTa+B1Pqe7QNF5XOTavbEGCKNy+aGAr6V4NHpTDCHJ68YFUhtzPK
5oNs1QMpgm7NQzdA+Gmd5M3UiQOsnWyXi/C60ggV1lg2ymhc6CmepEHc1PNasMkUhWhE9EaWvwLB
sPY6lISzhrt1amJf1G3aao9g5NwkUoc1W3BXRw5EaVEuoN6UnO7xI6mFLrYeomAqVrAxPVfrJ4Am
onvH8Ta6PZ1FBxspbtTbsVfXelQ85KoplnoKXkLpwnevyjvmrcgZmkC/7A1x6fk6OUnEjIIsW0nP
2kROuHNC4ax9Hy5UPDHDNS6bQuUd93DSTY2Hxc97A4+m1VNLFerKG037lKv5RSbJrE9YkQSNuEqk
cmCRO9uu9HVdk3nkGQFSxhrwbDCaT0YP0d3hpIHPOxyGwQar3ecPbPevCsV80rTIWxdh+Siw/i+E
2a7juiORs+Zd2566deajpwTX0+V03H6VRAjq42MBfz32lemkaNW+UP1yqQHmXpZV+omoi1XsWCL+
4v8bCf9Qu/LGD4eCtjnd9RYqkbFpYfnMt7YhHwfG6CCs4A1UA4xsAggv1Ti8RJDnykgGOyuY6gO5
UrP+W3/QsLVd9JV35dTJEyx9uZ2/7oCMkAhk3Obw+/QnO0CqWMgrtR/Cg6NnKBSKnV+IWw3H2pQb
Aph3u/FFvhRpfCh9JhKWJJHHSD9bO2dIoWsrmtHbuCG3Dx9g3JnUmSTy4E9+HNXy2hnIaMoK6zJS
fdKtonViyZGYtOi+TJwnOejXUNLyvaFHGb43E1V7I5+m1Nk5kHFcTAfZJuv4i5VSXedqSMueyW4b
JQj2anIc8L/KVOg3gxpptBFVpcgVKCqpRW6sm8pKU0NvitzvOr7/roUn/8sxHbYqKnc88RnipwZK
C4UYNC0LT1GBpSE71tOwcOTN37/IvKH5j8cbrfPXF4GfxTgOGPdXkdV3+8vYg16m1HV4EuNOyY5C
CfCT3Db97d+/zI9zyd9fxmKDKwU0OrzkPzaDnhAOXYCgcNc++/xO0f8L3vkXfz9LYARnqPr5df38
u6oJRM9zM01OWc+DtrU9ROp/dN+/+Cx+9fcjPec3xC+KUe1PqnDfghSmG2V6suk7jLPxu2PgL2GK
TID//DF89/v56bMGSqUGDOLCE3ZDJXVjZLPWUiK5/Uii5d+/lV+8FFA+wCC2NNDYOz99FIntA6+b
8vgkoi0+F4K3Cxzy0uUaxjL89681/7N/erp++FiYXXw/A2CimHYWkdWnglSfmorO5avFmTp2679/
oV+9qe8//5/eVGZFTt7av72QjumULUuw5h6Zr+Livzxr8z/65zfFvh+nJbcjdIZ5KfrdV0Y3Mi3n
4mWcqK+95KUbVob39vdv51eP23cv8fPjNtWke4OXyk6Z/RJ5T1L5PzzOswUPhQR2QOPr7Oa7t8Cs
02ikwkQ04gTUsdGP/4fDC+OTYDfNppkl6Gyz+O4VMiWjvjfV/DRZL7112eLVFs1/Obt+9aHzEKPx
IOkeQvWszfjuNbD9ExtlT+mJ9AK87ejDVeOqq9itLbHh/f0n8ovXsokbBRRt2ZbK/OnH1wo8Vu1O
ZGSnYO6pV4CTAkhn5SKnxrr++lL/6iEMHoI/Dt3lS/Py/1i40bResnn73/+5bZOX6uPPA8/5p74N
PGGdYgoTPFQaUVOzI/WPgScyIQPNMfQtbjQMrXyA/xl4WjzqqB5mexl0FP7o2/ptnnkilcCZakmw
QvKfWVzt+Rr4z9EA2EPMzlaMtPxf1BLip/PO9yASskpuL6ck5/AO22faYSrTuLHIlpxTK5IHQwVi
N+beMawYCBkkP7hV1p2JHNpZDnkktUHL4nTlslbCPZzHI8PDfpFr4Y0Q8XsnWF1ju0TQqfQpQzmN
kU6Zzj4C301rOqhBPPST+azV8tGBowk60JGcUyj2HGVaU54qq7IHpKWhJLR86tOQQtqws+dizO+6
INQWOcAC1zPN+6psdtmQPTSO8uBl454G/6Tr4bGLgwP5Vc91bqf4Aq1zpRtvCcHkq5Q3xvcjNDea
xrRIzZ/SUYwrGdFrwIOIwRr2W9vp70atAO7X9GspJwYjEdEbsg9pGwmboJM2lnZiHuomuaX3i8Fn
gReP7es8dN7L2jmDTmUyVzJ6FX7UrDxSKO2iQz+RvXlN/uSV2onA8Tc8iiA64spftVlvbWsrPaMQ
3YYBAJTIfwaP3K2KxC6WvYlroy/yt151jrHCqCYdsU0Vsw1ilKmzDkuSXxHLH+jSSKTyDhiQ4N4Q
hzrm/Ron8IWPBd7XjOtx6j5DGX1YaXWrh/4Gie5j6k9IKC3+kXxIDobZRd8z4dNERNcNEfXK7Opj
4AyfCdfY0kPUkAtPuJAR2ewJ7UH6xrWEubq0w/hW+tpnq5ndbgznHwdyuZZ6+5gSLl/n+HwZ7ePi
BHLntU20Mc3kKZdRvNaK9lIL5ko7thL3K+JCoNIwp3gtLEAwpi02ZROQVQ7sH6kanxrL2t5F+IOe
NdQX5WSvzbCugUkW+9BLS+gKJIRUETprGKzXFnmhfWas21IyH508m78JXado6P7sqY6WScsTZ1i9
4toTD/FY8xmmWuEzn5luclxrizaz177XrWGG3ky2fhH2gAwsLSHQuPTIL09Aw3Zt/AaZ4dHO0GJY
ZvEqVGbmWe65VQ8eoxfhFqmE4uZKsBWZEi0VK85cQf4QFMkNTNfWrYXibFlL06t29kcalQd7IAaK
YNxiVTkN0Bjaag3QCpTR4S4vjQtPg8fI05guTL15BQFT4P5WSVWdiukMRkvbywx3Ddlajr9LNHYG
yzjuH5hIEN5UKUQe3/Nr8JqT1syjBzMkVtf0UpHdWi1BPOxxC24sB4NbAHg4tc6KF4ToTsowOOvl
4D8R8rWqEx6hhSR/57KgG2W01c5Du4UgtzwA/HgTlOQ8+o4xXIlEuSBxOGQN+luapJ0QD2+bdblD
2wxLpgzn7EnuNHIo6xE3c59cUUDPGZWRrj3GPbX6MckKdqVREqjLwbTehN8yso7NscLX03u5g8A9
lkbJYE6z/FvRWEn9pNHge8tAx0HJqjU1vefYCAN5FPjblUXiDBif/r0uf9sQUsT+9XV5+VJQ9P12
ge7e//d/foNIzMks3y5LeBAzGJl+yyKpwZlLsD+2gxrMcIw4Jh6dOf6EEvbbZWl/QWiLcpClIls7
k4zUPy5L+4tqSIc/0Q2NuxQZyz/QqmDR+emyNOYVJEU7UAgH/rH+02VZlXUqDWiCp2LWQql05Itq
1kcVCKXUqNx4CKfkrKDyivZVIKkKzYEDH5FVbXjJEtn53XxNilmGNRFHZCDMIpKUrTxSLRPQ0ujZ
ZzFruJhma1x6YhMj7+qReeXIvWxkX22kMX9DB2ZzDrqVTyR7g0jMnNViOOw+FDPbY6YgV2VWlFmz
tkyZVWY2crNRQ3eGhXKTIkQTRo+OAGkameNn5mQnY9astVzszkFHyMa3ZuMNnGaj4VwlSN18pinZ
rH0bDezAfoIebkQY188KuWnWymVfVXPI51BqzJJ831UQ1jHjE2t/QGvHPjNgd4BAkLy24qIVfrzS
CoQurWY5yzgo3TAx1k6ZvPrcBXNSLQuhetOWFZlM3AibYYLpZAkI1n28xdpM9nTj4CAIlpVM1B1c
7r0ukvBCBXfG5e9AiBWUBTELuBiWsdObN6UamlADqsZl0cq7cCp54t7eZX0rFmgc8ZrWRrJjm3Vp
gkzQs6xx68Z7rn37NkJdtAsVfStH74OmPiMbfCCAz+RAYgNKuAfeX0XKbR549aKMU3HL6hBL0GDs
GHkOS+kX17gJtwMQOzcwCOnzp7p087D2diz7BB5NpH5FxOXN9Gw1BeFI5nhCKLYfv1Uq80zkhB0J
jZN27ZQ4tSYjhqYAXgfwXbBUGlWsu144Md2RlhL/6GX4yhQDD4bo3V6x411hG8vBkoitpQQ6rlnR
psmNpNxWtZ97N+hYlAvVDN59JScP3Iudi6kI8Lgm1a4q/Vu2m/P9qG2lUjQu7dKqDlpj1dnMx7os
32d2hYox/cyHrOKq6fdi6B6Lmm2KOYX3rVbCwdMd3e284rFDLbQi0P7QZsMhTYV0KzuCmWUDrcvJ
Z++NY8YFPnrKfdOrSMOgpkcagz7Tlyer9jeYJtZGiFKUfE3cRXG9iSztkJjknQqneUYZcupEfOcM
LI1TfM++Vhob1papG6lluKqivF6HQQZUOD4GPnnDiR+sKJePGaKfhn7W7S3lPfRC5E9j6fqKH0BZ
Eu96WNx3sb1UsBAvKhJoX7rKWCmq8kRkOhGKjX3UBxwq6mjGV2Ysn5uCNDzVeremes+k+nJS5d7H
aLSoc+M05Ll2zKp0kwjWQYVl7vWhcrFeiYWiBdedTxkch+OzZt3GykqO9r4IcWF1FFrcuJWbgWcN
O7zpTZxcEQCruFpePRVKcx2Bs3fZ/JwDg4BRyoCljsQ4DaOVopjbaU6DhU1CLGRFklkFyX9WL5Ma
v7O6+IRg320ln7pGzltnDf4mTqdnx+yadZNWrolxwCAZM1Ei32268tD2084pwlciQCE4qypO6d5Z
FGF00yTGq1OhekOyxYKxtO59BcScmnp8iXNcXHrQrNKSs3DhTMmwqb9KTP+9cb/euDr34F/fuLNv
9vjSfPxKIsoPfn/twk1iD0cgsaDD+OHaNTScIgbuE+YWgiHCt2sXqif6UPpQw6RP/SGPw/rCJc0s
Bcyzw9oC9sU/uHZ/nCzB9KTf1eiBDdT6moUG5sc5Rt32LdzksT+J/FwRUDlG1n+ZL/L+vuuBbXps
qgY0R/BLqTvIhvnxFczeQiZvte2pltFFaN0rAprSVS23qnfuu8taXX33IZx/665/SP/Qf3xPf37F
+V/03Rxo3tWGCABbBuUt8MGRe2wBuUZLkcXl9VVf5fZF13BUmLHhLWpzbUZjyV0weMaqSRsLmWpm
Pg+ao+2Axs1JDChL1DrXF7odHIw8uQc2FLtFJd47Jf50BuVxzr3JQayhqERlGfnVSPB7Yix0LUBM
l8AcBZjgI1AwNzXt8Jo8en3tF2G+8cYhc8MhZAldtaAKJiLBPJp7pQeD0YbXNk5kJh8gHMLuoJQe
n1LEXtezScXom6UcqSHM/srj/l+QsLsl3ePcBfosyt9lYuaERv4eHBb+HeWuUtDQdtlzN+nnwQq2
HYfmSm3qDdaBjSzsCywMwyIw6WGVoqK1C4hhxyp0YzUCYAFkpzq7wTdh0lPB/WEdvS3R+DRXU8Fm
323TashPiS8PjVCtyyydjK2sm4mtqV6+wrc4AKs4IlE4FFa4G+L+WDkeqoP4cpzMB9SgNCJIFdlC
6uuK+FgMYO+gD4xVb8jjUEj6Ln3ZxcWhAUaF0mo36uFZTKWbeeUyHMYDot9Da1f5splI4fCNfl93
4qGk2pMyJ6Aym+6MhKIRvCP51W12zuKGm66/jKf4QuQEAgwFyRxxQ7NfDjaXX4eMUTLgqyPrDuEC
cW2K8NdaWrS7tu2bTeJpNRdDOR4gXpCJaWv7JMWK2p9kYF/XLftuNaAGDYJqrbLr9ZLw3GbKTd9l
6wCw0SKfySShw6a3ebcCtDeqGV1pNIVOm7bEOqjoSMwli9QrCBLBosbkZfZy01fdWuAba0xW9qqA
rpnfwEg5p14JZndAMtEkcXc9jMG16am7qm/hldiPmMXcwTIqdteK7kZh9Znp4B3YCOuUitPksVuj
ViDJ60NAD8tQeZRSZadoOSiDUNEx7lmZSg9p0j8HYXeUwNhLI90MwlhB1HXbwdvXNTnbbCtrJjmI
Ni6p95dar+w4KK5G28fTG+JO1qUHKkO/l2ARNb4hbjlz0ghnHbcEICS7KkEDHKJ90UflIq6n27pg
dDYmDY7f/CaCp4vNnMca8TMaGu3FaaMX9E/HHFjaguVu7PagX0CSMhYzvM7e/nvp/dZmsrT560vv
8qN7ef9Vo8lP/XHjiS/8TdxQOA50ExPkdzee+kUjAIqrUBK6YM0I6W83HvNaYE14JzFOztzB7xpN
uNjcdrQF87CW6/KfXHiY4X64kOYrjwB1YTCUJe3R5F/x4/VA3kOhG144nsLsrI+wHDQPRdTQOHfD
BKxejORXOFp2sKfkGkU1mIdEcS1lUkG/JZy2YQ3WpXHwADsncN05Ghjz1QniY9I699NU3vFV+mxb
f10qZjGPQ5+SIgVRUJsac5VpI7T0QFpvT53eOcTUo0AQJaFErOgQasb3pm9Oa53tJV+y0sXERS6K
ZjzGCbXdOL0qHpFV9A7bvmzv4rA5V468DNECbIRj36QxE6p88C+9rrlA3V/gu6r3qo2UZYBxlw45
73laRjYDPJszzA7WbJ09wsSzdRYoD22BbINGliywS1aD60kSbASTyFt5GVf1xDkSheW6tBMiysEm
Mfd+z53wVMeMv3zOwZtJSUnz9pghFbU7lQNNX4TxHL429lcGcKQMGU/pRDqM2XvWaghFcoGMHCV+
D6pAGTyCgfJoafez/nSOtxlpx3tnWuhqe2OSII5uxGAUjTrS9cNKIp5o5xu+NXLwfoOJevVO7XvW
7+CbStJ/cHUHqyRqugqFrB/RYwV+IpdejjK07MIDGqxVXI8bkQzbqe/MVUu8One4z6EmO9eaPLA8
ZHBLi7M3teRHERnHRNTOgrjV50kyojBrHpzAa++aLHsOSSf3DKbCmC4MWe/GtiUTDGa2GWXbXBPK
KogLY0FywtERcF1jBI8Y+R5GaV6kBQrU1BhfStUo72RKqngqaWs7ptH9rsU7P0SRtw0NT18oobcl
q5QYoVLfj22sMtAnlHtUcL5MqX2vdKTVm6Wy7h1tI0J8gHMml+31u8nB5YdfkoGlnwHyUuCZlMUm
hI6yENZ0zjRvrbfcZgrT/6pq7yfUWomhfeY6vzO6mkdhI4/24jvCwp/8tDoPQRzii7S3cTY91lWW
8tcHW0SW+PJQGWZDc5G2ZIVp0fTYNSMEzvKlGcMVtPm9E4VLNSyezJB6xtORT2LFQ0FaJbf0SHcB
y89F0WJqEVa8j+FZFxN0l8Z6KgESLarWPFbgiUFEbIQON3lUho0YRzdt22fD9q/xvqwtNTtRgZ+G
Qjh8xybtAHMX9JiZHaa4u9R0fx1n7zE0yBbVx6ruvU0e9jOdXKpLjHrnEDiizQx+4ZBExWvXjxMJ
NyxFtJfUA+NriLhxRQ0/O/E1XKnjrTnRKQ95grmksm4hxe3xsD5NdnBk6Hmlawqz5xg8c+m8M/jd
po7NY2SVO7R2PIDenFA/rLxI+zCi2TTUqbc8xo9Wg6Fb9fLLJiTm3NHfnWmsVqx+zrmHLDCtVel6
vkZgmJcZi8QMkEgDEIVBOiRnaDfXMfyvWa5EsFBHVkmKM3Wdmc7r4DUvcVKePbUiNMQyvGXdC89N
xxLTa2Ts4TLI86TbG8CdQXaFxzO6KTL1zRt1jcH+dDfl+UGf/FcVJVmbtOOWokJZNbEGvcHHYlkE
9XpMkPlB/vrIC2tatbCxoJAV8LGakm62cfgNOBY5SUZSuZ6sDpNq7RtNxQOr7oKgua5QIy5Er+/M
SV4OrbLPU95lGJfLogkECkFFEnTlL6MgZRRuyd86mX8XsbNk4a+v/HPy8vZR/WK2zE/9cOVjdvzd
XTLPdv+YLatfkJZw35vIfb5Oib+78tmx6gCF574QWRM/9W0Ra3+xVKbLYt6w4yaia/4HTS7OyT/f
+YZKNBklhKYhD/ipze3GnumRtPpTA1AUlgkpiN14beUd8G/HP6VqGb0RxJBBeNdv4dpzeegKEzur
/1QCscYfIxeTriDABHUNsY2i20IQS47ca+UzahwSC15im11LJ/G5iHNv03fekRgLSL+F9drq4Y3Z
TQ8BUz2qXSj5WiHdgRg0GEjFhT5PvFMLv6PuZOsp0W54rWXfqC3klDZg+TSSG2ezboFbdWxi5w5Z
EuOe2H+PavsokdsJOZwCv97mFocjB9CVFgixJlCkgy/UnQcNLTbqFZP9GRDbNInnc4KKv3R1UBU7
armQO0bdqgHSQafB90ZtYa/asdBXeuxt2IiipNBTZ4td+Za1GDZxZ9nq+qotKIjKiuzvMB13kwp1
tskC1n1iujecdwiIy0ob5snlBS7LRxL7QreI6gEVH3TwdqS+MTvMnOxwPzqR7zrVWlu6Yi0cEdz7
Ks5qoMkI3VF/olikyJgnldapD63Ledbq59V9rhiv9IN7K4+Rtk5LjONMrtUdEW5X2ohLwjfMa5vf
kBcSC6HkUNCT5LKSzrUZitd4mEhjFDRjhlBnt0l/l2ryKULbpRUWfvwuk+uiVYk4H6w9BLxbAjwy
15zEfdhFLIozkgh0764YqksmDnu/AitWJwmZJ8Hz0Cm3hY56PhiuG7yhwlQeMWayHo+ossC0u1UB
VxCBgL3S6vLTGscb0QINKaVz5GM69ExkSlDInvxEl76iBSb/oZ3WhZXXS00STYKByYxmnpBvbabI
MhZVlj/rmfmE73KeQwwvsu15vlR8GamPv7Br8oPaJe8eT6RTgfORRN+piQntYNzmZsNYgymGFui3
BpNgPyTCgSLorIq+gTFKJAZzzGBRweBZKkELIl9nGsFk/D5q+CVNFHkLg2t7IVPtujGLlVOk21Gk
lbOqm6xgE9n7l1qb3w/1Ewl3Ot+5p5T1COmkYhuwJcaQItmzjsHV2FfOziNIbpFb9bCRHZp20fbS
bUs1Wo1twPGvFJ8sCOACsBtquJoCLxqZ48TldNd9rQkNIjCp1ny2kzeZp1NhocW9ZymfryQ1JfIN
iMlUmUMmKTfnuhNoA/nvzmYsekpS1baXTV8lF6hZrVXaebPYXH/KOyNaAauALxDwSBPtARea6XKI
vspVwnTp285wYxdUwDneiyGY3jUq5rD07SWpdmtBLd3GJItOrIJXGXmry5iKO7Gsy0HKBdYxdxL2
Q0hlHtgMquDKrDG57UJq9wrleUItn4Ttupjrt4kqH4YA+yjqfhlkpM7RCcTSvOG3qxL6SKxoRJ1G
z+DQO1S6zFzf619rU97nuf6YCitZaPQbUULYSgmnYnbC3BsBNgkK5cBF8H/Zzw1LNrcucZAcBL0M
/61GdiF7+LIxmIvT8Gglgdx6/DnSCRWRdV+UbI4r+VphRHdFap1MeiezzZmrlMypdMp+9MZsCISn
voohurbpvfjwaMIihC5NbN2lXdfzDdEbINR2sELuvDTnu54WD4oN13/e8GUa+epZFAZ1oO3quVII
KRmI0qRsVi+YR+0RQBziubYAbYirj8QFQNmps9DDFBaGZUdLmarzErv5UAJCPnKnjNZN64TQKMVl
Ntcz3VzZaJQ4k++9KGN6CCh9lLkGUofxjYij6GYklQPtAe6mWrLEGok+sfzyrUfNicmGlRlFy11o
m/ugKN5CEt+wO4v0lp3OVsm0O0trkfEUfBqJ5RGZE4ul7dkcG/3OSguPlNcWnji3Q9G8OVrPmiNN
eNbwpfQUfAIBz0UlVIBVbDqzFePoel1/NV5rX03Y/w5Bvg5BZoXl31VEbfpS/7kimn/q+4rIYVAp
ra/1i/3jEAQSFeMMAaP6K3HqW0UkxRfJH0GAwD/7O2LzW0XEfMSB4+CwMaCemp26/6Qisn6WpiED
oLZi3jKDtABgzX/+3ZCczM0MttSonoykb+ItlH7yc+0yPkZeglyHoWYwPXjA4bWySTa97zyQO4v8
KPAwn/gbx0uYbXDEVE1BWkteoVnKocqLfQsi2EyHnT7Uy6ndGpHylPs+hz6nmH9SI8c/spO1XdOg
frBUROxxjYXRHKd3+n28By3NqfTsJ7BYjEZ1heTIvoGIl257GrWlbnRnOkV9VYLJ58/Ffupm9Rce
MpAbJl9k5vMKiMK0Eh9hUX/2k/YOHzIk0SEOiMkeblJ74AgbIOeOykM1Qa4nzpqZiGm73eRcZuY4
7hUZX5vz92hgjA2jhQuB6pf/UH8aXiv5H5Lu0KlLVSPIINLCcOF5UlumAXHHU66/ifiRvjGoCUSt
BXcCaHAzcoKlZzXVkiN0lK4RC1xSpD6xPCyga+2qWm+cFzUk2GoVDhUGkawLCHnI4i1hBiVDDKVd
YGYtVsJjQo2IfnY8EANGvxvjAO0q+DTwEBej3zdXWF3JrJiS6qrL9WhDXkO54FzhVwVVd1FXUpDD
RVxSmsUa/jDzMZ8qMI9kY69kBa00z4kra+YrdnBAa3uOZ+Bu68crnk25wK7KBBZ8RJCb+YWDdWTB
/RoePUNEy95pa2hAnbUZKiSH+D7aelmCQCMRUvc2atx+ag5E0TIogT/Gnr9VTeW1IwmUvYVDXG/H
oE0tkV+EOKS3gK8+HPYAQK978BIFjypDrx0aRuKajCg52zpqB5XsdPSCTBUcyOYbmej+Ku5qY2MH
5Uc6qM7GmCPYEYMlZ2vK/Qt+c1wfXp+92DnuTG0MxdYTkt+NUMQiAwrEzKmJq6VqWfTWwNheizHz
FzmQa2SZM07SVqp9D0Vj7/dttXEC3OOFsPVN0ZjJig9PMn820P9Zki1C8KkqUt/UxFmAAyENFZcR
rNCKbL9XAdSHCRKwkz4NrQUzFXYhhexWFEuqwr8yM8mjaJNXvnP+RcWmfNtPcdasApKPxWrQbTiv
HUvjz4SclK3N1vEqp+Bbajah6o3HWmmvU1FUYrhN2AJhh2Y9lengY/OkvAeD7rtiAmGRO32O7mDA
nF0/KX75kOQZ5REazVWQMpLo0hyWiLBSwCjRvZrl56isw+fRwV+oBX6AK9K2CfHFOzS1V2GGtdQg
D9rNM4YbTmt+wFV8boW37n0bcLujfPZRA2o7C58APF9gOX8c2Blu9Fox3SSt5kPEOfKr2LUwZ9G2
LpV2luWk9q2wjXOpBhcFgt5FVuWXlpBvmuk8dIkygHoZzs1U2Tu7qrb5VN+AFrljdeWtREM9U7bV
qovGkLzXcNzoGvNC8j4YNabZHlQocong2hdIMy0fmnqb6OXeENML47eSgl/bhnlwEVveydbZaA3A
Wka6Ur4pSBwzHjbGxMgUJXbh18hmKGjGTbT19Q5Ln2TNN1CQXZgmTnNp5qhPjfTVqQ3OLNFmmKXK
c94rN4wy+00Ux+GFjx+UYRJhnPHY27NMt3FHpTEh63AmeXnvX6VYVRjw4ZFt5y/PJDzarvlFm8II
VhE5ihtRF+F14lfF0tZYEHHCtJs6MmmIDKg/hVTH1RTRuEXY6ThhrHEztGMEtTbU8RqmcuVMkYlv
1PisR39axnLaYZ49Mazbp3p0MNohXem90DZ6rycrXRTeOpY1JE3LECzKILFIkedbzRwMYK5U7gHM
Ug+14EbT5y1YxL8WIqu/0nrUE0mmz4DkZOZ9c0oJkPzoSXmnRtXBLu5Y47WRagIXZgAbpTS1pQ++
P0uR9HBM/Z7m/O/wZ56F/HWpcx12H/g6338hxJ9/8Fu1o8ovEs8FkGsUDl+TOr6Nf5Dos/7XqGgc
Kitnngx92/jIL4JKm9wPJH+klxrMk74VO/oXuFiEZiNYnDme/wyD5czKwe9l+JaOuHEO5XVAl8Pc
+tmsoWUdqAldO1Z5CbbuoICuCYjwlKJOxdJBDn1yWk2Pcax7jFzwHk5rdRxVi8YEcL3NWXlq81Lh
bB6UnWFk+rHloln2Wp3tmXOmN8wY+lM7yOKADDl/a1CyX2hpH99ItSevIIf57DaD9cFmHwWbtL01
qfNzUnXZ5M8MahhLKx2dQtUXC0ZI8JtVEMlJZryS0KB+Kno4XWu1iVjZCcjPzEY1WeB9WEyFWYJ3
ijRGFxEAi8CKz2naercatcZ1WyhJcCMiI/brTWKp5bRDcMY6o9Jtm6Q71QIazQu2oLGYWrPLqYIl
B0w+vqBW6a6qSrWZgueVxrpkMjtxaZpFtEqNsIzuFFjG8wIltix30NBYY8fVCYw0urF8jttW38ku
bVYTVejSmhjUF+OF3RRke2VGsBRd5Rj7rtCrFy8KTQoQhtLMEETNcVR28IjHMNN1oovqaDdiNHCW
+SSvJ7XurK3WERafW9Fbgxj5oiDKfDoaME12dmmH3TWJ2+p6rIxs0t2AB7M/pg7YdWXzb/PzW/PD
9+OvT4RZ9rT4mB/jXzRA/OS3I2GOLHZM2hhUP/M3n9Pi25kAxtSUzHbx4Hw15yDg+XYmACNiyUsK
07cm548jwfwCpQjzGTg2tMEq6cj/qP/50xbYwTIkOBM0psG0VT9tget2NAx0hsqlZaSRmzB2DD3k
B4mJb3iGq8TWuFVm3ArLhCuAeI7bzSiWHiZLPyLRZ6G4m2ZcSzGDW1g0A9CcYS7ljHXBFvHKWXFP
aOVzIcrjyLcBbrd9KGYkjIQN4xU6pPlqk87QGL9JrvkSl7jr9TcTrkw3A2Y8XVw5M3KmtwEOVFH1
IAbrc5DmsI764ibVojtLncdHMbOSVmGjkjrlo2yLdgl0lShMpV9HfgFwI1eIzYzbhapUmz7+/+yd
147dWJZtf6V/gAV6AzT6geZ4E1ZhXohQSKL3nl/fg8pUZuhIFdGFWxe4F+iXqkykFDzBQ+699lpz
jimg8fBpCzcdwamzAXAeBSOEEkAIguuP6nOZ9sJ0TW1v9qt0lIYMqEPTAkerYrFk5CupePZLfEHF
YK1KCaFi30yZJ0NSw1iueL2GkCMR4qsunogwAOaZFaQMdWL8pTVYA0XVQgJioo5qT2l/LzeFQf9t
sIiHRq/EgOnWGKXEljL5OQZtQVGFzx9oAPT7ooeo2TS7Ssw/wyuKa2L9wkL06KOibNIzVb6ukiDh
UGUQFTaRCxoy3DU4DRJpIi7kwMdcLT5RYhfnch6LAyDCyREMy8sNpvlBuc3TAk1as87A56SWsRs1
/5GtjS5fokzbgsDjLlfFrUTnDjhHM0GKGEED6bjSxZQFh8/zgMYl2vW0mr2S22ebki8suKTsjGvw
jkY2c3gEUIQ7GHv1O6+jXdAdyXeKR/2d6CEN5nGWp2uxIW5QxKcBLIIGcV2KtwG9fX9Bg8y1cq5g
hQjQTKARXmuxsQWXtU56QuUWuEgPZaQ1s/NowdQa5QkMIhj+jG+eXSaMtQ4GVfygASwxCsJHAZhk
C8nEAmkygjYpQZzUoE5InX+MWiYDCwOFBbd0dNSpBPsp67EnJpbWmrwagafoC0WFrxwyexd/jSmm
+5rPJky4tZSFvkLKLQdSanuwLPg/kBTAaWm79Eg37SZbCC7TwnJRBPU26obPudB4WXNXd5LkMCe9
DoDAlBSueTnvQHB9Eq14cGNwMQ3YmGiKObzQBIia5DlbyDKCQX28sGYUoDPhQp+RFg5NBZDG8qXC
EzO2WH1GfQGmkEarDMKmaAS3AGlD5thnpRRBdi2wmyA8D8Bvqno4hJr0KV2oOKI8raqFkxOBxPEB
58RZTlwfx51wQeosbB0EwQdroe2g+N+nKX8MDM/QwuMZ6mxrAujp23zPn5zBaCgKKgitBa29AH1A
DkwMGBbMTyguyB9BD55iIEC5FjMTWrBAQrOBefTUgAsarN5DDL+OFfO5BSeUdSqGJ1xrSCacFuBQ
HZSP00IgkjM8coOqH0zgRKZUERC78IrqWnmMABihmHLShWhUmOq1AuIIx8a1vDCPsLEdtYWCNIJD
8nOOVVZdbkJASZGZPMRycgjE5t7I0SensXjTglaSy/QYcjZIxO4hydTbemEwZcCYMNAhnKmPEZCm
caE1BRNVVwzAKZUJ7QDoxEOyKxbCUwjqqfER3i/sp67rHzO5Ir0ajkQPHqoAE4WGbi9w1kANKWxV
QFIiQKmWdPAMwNSAcdCak8MIpLxN5+u2TzCJkeShgKYaSx5ZExZk1qT3QKKfE0Ke1ErbtkCtGhWc
MZArSQk/9UCvNOBX1L8ph1l/1WtQL8BjJWCypIWXNQPOwhN2mABp5QtRqwGtFRbJPgK1NYLcYiqI
JJPqSCoq0YnBcql9tMrBdMGK20dgu/63Nvlem7Dtv1ObPHWfX36tSpa/81dVIqElA9pgYlcCcXGh
TdPBaiz8RMrf706nH1WJ9Q+d9D+EY6LMHzEWf9SPk4oJPZEpB5zEP0qWf9EE9UtbljeKjrGKSWsB
zy4j8bdt2bQlYWUsRvHcxsWjb+W03BIF7L/QlYxBpRIM+FBs2IKs05LRtSqKJSIO4UlNGC2NiRFO
DqqpQ13Pna2aybLY6+t+6G5TcyyPNcCxskdo1pqvEtpWl0MKWFXCbGYGDBaDBhh4oovuco0IJbVz
C5Yu8Nn7gfGEip/jrgoC6DuMLvTB3BddeV9LQEdVTE9YR6rXdJl3FMvkg1bdZlxmIeD2UIyAT1gz
GlavBEXf+/pgee13gckg+EzYEJ2kqE8mVCiouV79jMRvILCiFyxSFRN4gE0Vc9OyeV5Zi6AlW6Qt
qUJ/xmdhc31ih/CQsFnmPl3XUa29GnVMg0om1KqTuchmyjB5jGTlri2s0hVQ1pTwST1/Du5rrJ0R
APVOpzGXzdLGR5WDuzq34zDcEB54nYvxEf3eU4aOJ56tOykuDfQmSHxqWbwrDQ5gM19CS+SaQ6cD
vlSrvUyLRKhBK2QuoiGaL2QK4Z4dVPHKXIRFoR9dRxYaViEbzGE3TSLwx7z8JtblTtTzkzlH+34q
gq0SNzedjgB71ERofXUGfVBP7VhPsWyXKcerBGKwIHQVX5iMEsFq04Yk9II9FrOTebbkclqDVOSQ
p8dbZNvWMWjqr3KFLYrGXXAtMGdiR9cYKfXJqZrkbymyJ4LhdYxoYbyIAUNsZ3m+kCUTLXBbjSDH
HEfojkj7c0hwnyOm5nkQitahryXawVR8yxJsUA1EpK6WT2VRIg9W5hrKGywfqSty+AzCOh57uulS
96yX4SdoaZ1Td/jOSHojaYso8ibg5qY5rjizmT8Z0bTonz5ngb/uoIzu1Fy4lszymwp/oQuhd1Wj
6eSJXjsiuVhbnQFzqWe7sdU8NVDOk5ScsUePjrWozcUifhAH/17L2E2RVUBxEAxGGoHGx5ZJdJcb
8pc6lGIViY2dKN5kU7sTwbxVSXwTRSCiu/RpEOvPQHILZNMoGKemP5l10rm1PqCYEPOjZnJzNVXY
0ZhT17qIwKIDpuzmgXEQK+nVlGfFbdrpoVTkjmN4uSob7L9FS7NzGvttQvfW6XPxNKTD55B7TYew
xHykA8UqZAIv8/JoIdjQTcieodLYJtxpYiNJbYQEIKRDheYbi14SI0Sckop0H+Qf+aR9WWxgQyWP
cOLiQ+XXMpS+DBS+LK/jsHk2Yzp7TCulZP4kCQ3EOTbAWYVrNljHesxJUZI7N5j7AZZzcjQrDNdA
rW8Qpj1PrVWSHBKmmBuEcSckk7AtMgKPciSXfVLdqqSHhGVyY+q55pRAmekaK36z9Q1+ylyH2gat
pVf7xDzFipBus4xkQ1HObZNuD4b1huiCwkAtWfAQTxTV+B6NM7YzGjtDkbp+mCIHDcZreuWYpjTx
1USb4vzvPvtHD+DdfXbpAazql/w1al5/1wZ4u+HKKL6BpAB6MnTp+9b5VxtAWZxMHJ11eoAMPRmR
/thw4XrI5PXQ7/nrb/3YcOknktWjEfb377E/IUXHZEUWm4Kr9GK71VJRNGO/ns9z+1CZPk9va78p
QH5jR1p+wt+9x8WMpPIzoLyq+IW4xGJWejNnxSepl2OpkKAxCsg2VoSQMzv60veb96/zq+np5+tc
uKfJ7iux8mrMc1EpS/VhML68fwFk9u//Jhcdk4B5HInm/CbyaJCzdm8wjgGpZAk0T3uPQbfT9E9l
t+miqxbqhxR9jUPweVdycd3mGJzR7FZ7XQtwviLIUq+7+HbIQnckjvf9T7pYBd695zxYb++5Egk+
ep3lXijs75QO5UNHQlchqecBARHJquj8vhkCE2/+0dT/DO/6p/SuJcDhlw+A3HDx7omqhhPi5w+Q
m4HU9qIxnac+pj6TIDkcElz2TG1KFaOUhckcSK1p7uqRnL5uuJGQo1C+FXiHRWF2apTrNogOEdpk
IO4GcPL1Os2IT1Z2gy82HCaEWLoflSxeK4kVm0zoWjuPY6/W621JvwN650pqJ5oA0zqcz70eeVmA
locudqfP63q0rjL5CkrdyodoSqkXNHf4sI9Km9p1ors9zCx5gCusaUjgGcLEpZtod0QBVsjraBfR
8I0myekgwxpi5g3kyVePTQyVV8BbMOR7qVWv4/gYEwrfg8i6z7TULpVZ8QrrrlUXT5Nmx8sYR4sC
FbhZZbqiyZSpSNKnVijJYqFWsDS/cRMcZe8/Iosy48039N33+PbFVy9elyGymrgdm/ksrpWNv50P
7YOyhsF6bmzp0G4qp/ZM13KmleLs6l22KtzxSdiStbkW1/oxWsXH9z/Qz+3IX5eJixGFmhJNmS2P
bJFsC6rYwa1xua8q8YPl6HdP5tvl6GLBM6NsTkOaGGcht9O78UsVOAwVEC7o/h9b4z99CaSfb/Ef
v9Lbl4AG8Nu30OL7qBUrks8hTdQreMBUXYT/Do2HYys4M1h4/xb+bgXkRIflxiQgDqHMz9fLEJ0Y
RqrI5yFu8FF+7oWr9y/wuwXw7QUu7h2tQiPvAxmWUO8uIpVBcOgqfvBbfHSRi1XWGi19nuiQn61+
P1e7Vr+T9ef3f4/fbUlvf4+L5XFir67rTJPPMu/2iG9U1G+s+GThFv9+oX/3zPQYvdZFU3xr/3P5
ya9FOdUEaLb/9fO/Nn/8e/C1WFBhP/2L9x0bdt19raebrw2EnB+TgeVP/k//45/slLupBD728iWL
ctr0bR29tvKvLQWV9/OdEUn40rS/aUQsf+tNI4KuATEd6NFF67sT7k1dRJKbYTEC/cEn+7Mu+h5W
iIqe9gRf0pJW+FcjAukYTUlFX3gsf85gf9yFqz/qEW7gP315tV8XSFoQfAhSzzXCmzGJ//w2ycvF
y7RKIaYYyHnVjoVRHT4xmYAeUQnnMsSo3MzRMUk5P9QTyIIJfQI1No3n0fxadNERfeYdjlNwtRKL
OwKJktMc4C9T2Zhpt9Jb30MqsRkG/h+SCS9U5iqK9NRoHCIj3J7KGHrNWL2EBtiztvtqxKE3kM/b
ClhKJqk8VqP6StLSOphQaSpNgbQ3yrpNXNab2rL2TUy4BEG0M0BiElSwzmg97N7i3sB5PshhB3Ff
jdgf5ZeU2oyDwmMIaHdl+H7nlEQHrWsMPY5FRjNCjWZHmHO/Mv0SV4qwsZTYS8L4FqddSfqNMnh9
SaeA6YjdmOWKVHZsPXy4PXmVsjObw+wKuZRz2jfOlpJ+QQ5VrieZhSQKIMEIk39Xp8W3tOxGV8wH
gbTR+JiocJ2jQE5QE5Wpg5eA7XgsJtQ3pscMehdqbe4GQ3rfarWwy8D6Qsi9DkFC2DlheFJPzLSh
tUcrl++qsFsjQb7Gbi543cxoacqGtTibCJPQTwCAvB5DvFuqaT3FsXQzNaVAiVQYBBMpGcEUyt2c
RU8JFPIhZSpE65fuegTQn8Z2XInfluSIDcYlmr9RN3mo3wJO6wpJHuFDGPP5A6gdJG4Xs6NDBu70
AgpNrqi0+QnfjhNSo1N3CKCbRE3E8F3SHfDZdiRSJU10w+wiDx+Jd7oZa+AwhVkyBVEABQfos6oc
X1k74RgckIUQB9darkQHYp0V3bkozAW0x/feAPyQ6JKJWfkkddGhjaNDHUF7FgLJdDSdCChVRvFk
NeR7ZIKCHaktobYVpxzsdRVpxjYViMYMmugkxsVTFVfRqkoX61hUuyOyanpbdOJ6elFS2m8qSbyS
5cYptQGvh+Tv66DbNnl53wn9umhy2sTFipkeRq0sItaq6S1Uu3QO9DRE+iv2j3MVfW16MsjjcT1E
5YQOrKIzpxcwevmtJuOqgATgJFZ/aybpqoWYP5/a/ugL0WoSrW0w5mdJy6/k3t+kGkhoWkkERzMT
WnDtHcxXjOWzK881RgwQxzygke/QCvPtih5JkfND84zwPFOXM2dQ8YRnYv8tTMbEHTPF8MAM8aom
zeeR7N2hMAk4HLttIVTYVTrLWjPw34YShOuZWUdNG5xeIS29cS0IY+Bpo+I76O+GlSWY+P4ZLAZj
iHnVT2JildUvndaqqy5MvhRK/1jN3Sszy9jjnI8XRBmupi4GRRDphBa3euuxHPWKo3U54GtY1O2e
tWfRdtKvi8aKHOs8a7dajpcdi2Opa/dQbExzHaq1BPl9KnmXqhyxlTHWM9FPsJU8MxdU+ms9lKwN
gfboFOAbztGJ6czU3VpiJrW3g1ULyr4bu2I/aMwAH5GVyv05actNEbQShhcgAoWaqKuINEa7Qkom
1cFNwyDWaZNxp6p5t6qFmiBxQd9rxshUFlcVwjP9tUKJaSetzqQiVh8TAZlq2PeEeYmzvlMKHuYk
NznHMHKHJ1U8l776wmhUdluTclyZq29Y63pHYVCKIm2QbRFopF23JEpNyXicysYdIyteJaVwVPP6
WvC7fWYWz300MGZSwAkQttxII029UiOSRRl34UQ+GJ4SyyhfImD1+jI8b2WUZgpNALtth1tRjk9+
Ayk+np7SUP42SyI/JdC+JX1GmnPkCvNOnkZE91qNyrG+SVDa2iI+vnEkSWCfhsZRTFL0OWPxMgTz
Fp1sjdd6pPnDWAW8UnbSjcXso1mBJwrCtcyO6Q4kvsCC6I6zOAHOGH2Hu1BujBwgeFOI7VpRe9Z2
PJWGFRl4iSfeJV+4axN31oIHuWbgbKoxzDohwYWcWAMXr4Fl4ppQZoss8nGxPg9R4AxgAs/ZWA4e
CtBDabakfZpkfQSScY6G/NilBkF0gJIsAoearNkEXfuiW8Pk0WS9nVKh8uYMqZ1vsYEw17v3O2Sy
3ZA/FMQ6xkLCZ+zmx66yQlIXdJVngGQtcl4Fpy7ar41l3bNAr8SSw2UWtrYcKBslLu6rnuFnZIwO
eKNtNShXPRHyllZ8jtjo8B2LJ1Vs96rGe4ezyV/7s1TjYK1JuunZEtohsBFMxHaYJFtLm0y7D3In
NuVq3WjR4ERqc06i7opKZJXL7ac+IzU9wcFO8isPYKeOXiJmvSdKJmmXCTB9ZKShY5CT5OpJvyYC
QFrrgFG2LTfUacL0LMJatE2j3XV0mLHlWjvcPvcp82RvKtgEWbJWQjQHa2JFySqwdIcs4oA5aJ7u
A0m+0iXQUEJTLgEDYradZRSQPYJDnEmVTyoOWiQ1ugq7GPpMEayEHLQHixwLnDZs5kzmldDMK7nu
Z0j0+KH0YnzlLP6gaBUhccbrrCqvoy7Sl0UlnQSPKDF1t4Xz5mflo1iYG0WtbwfYH0osOIoM11RM
w71cDy9Blq47Q/5qJfMO8No1llaMLa14m6vLIi5o2GzIV/q/UnevvxYLarf5uc7+f7rs5oz5TtkN
BO/lP+yX+vNL/bvqm7/8o/qGDoz8SEUYiN1iwU28ESeJCBZlEdI+0iAVzdvfXUntHxJhq1g3/qyy
OZv96EoiWERiiLRboWuJYvFfClL++SRLcwKTB85XpGlsKXRH+XRvT85KKAlDO2XqKcye5+Y0jk9v
bsuf1f5bRBLeWn7C313J5QpLRjoR0pw/LE0zLs7mnd+opJiM3ambNU+Wy2/0pU6pT15k3X5jvgbG
tSbsREXXLAn5Fl/tpq5iLNtED+iCTnot6V+5USOREu/ijvWpKb8IhErZsnXoNHaWpk3wbPFuS72k
JUAP20o5B1CNQW1g+wy4iY4WUmKDupjmBlCrth3Dxv82aCLj+SzUASBGQO/VKP1SyakPKQNSvIrf
gTZqIDzGMGNYXtRXpj7ZqpWMwAHFUO0luv8swebZKA3BS8360SIoy5NkDLOlqg5X8YjjTJGLdiXV
CseIOt/3dfTM0OOgoVW0rAyQUNBXG9afDYjC2WUIcedrKbqV6GiGTPJnxvqCiOFKUkemXAK2YovM
QzJfVp1qukHZ3hpsvQL6AKUis1IUNrBTd20pFpQm0/WYmDvKZKpIsq2wGOwqw3jxJVxurYFM3BIw
BkYvbeNndrNYB0iST4P4LOCgQ1vF4FB+apJgZ3XGBrbbQc0prmq5P6bwifVMQSdUbfSpMuxCtT7F
0dxu5iS9qn06S80c7ttIfCoredGQxztVIN8hRW/FFArDw4z2RskZhDWcvToz2k4pMUBarDFpjfW1
WEWNXejJc6daHoMvDAUBAa055yIcRbuRvGJL7R/UgrIh1E56oz8BgGK/UG/CjL5v52drQ+2P4VBv
CywvwRg/kHGEC8UaNmmPwEZOb+HEE9oWpw9y3nySfOOBFOVVUes7c9aQO9XPOoBcChhrLSjNE0Be
F2kF5SQWIigpHlAKBwKHqyTjoRzojXZVgMp1orxozUYmFs63A9145i1YxVH8FPg+xKCmjVcCmDKj
rL6x6WxMQBCqUj53tfgkCOTXGBOFFj6gfrQcUUs/z4l/jX1zBqcQHJK4TtZkYGNdEoy7kH2tKrsQ
QAkHVTFD3S9lSNtK1GjmbGhHc2zyXRTpHAlLgvY0/Ta21MeubNic5BpHabm8PTFVlEQISVea2LCG
CpbJWBPmpd2MJrlL3dSle/b4hXqiNJ6Vlr2NIdj3hkY/Ba1Mmo2mf6LVgFyv8s3PmLZ7L8QsUdh9
qUMBzereb2A8CCCbkd9Ep7GO9EMFAsu1uBXU9GXg1MKSYJUWoauGjJbTThC9dgbHkbd+clNwKGjt
rBP31NKwxSeZLn+9b9vxTI3VbHNE0bak4NiQ5KrZ0NmIvSDqDroUIE1IynwtzRoo1NnCBiuDc1LT
0ivaqkARHKVnA+l1giSpuZ45yDq+X75q8/Sp9pUXI6k2rG/HOJQyx5IEwaWiOvgJNYiUSpqd6Nro
tGmR3RYamE7qHj996JL8ZuhrMNayflYj02ZlcepYdRFldC4T6r1RcaCRJT60MVznnRI4pVHarFG7
oOL8pFRe3MdOObcH3FjrUAuPpMc9JDX1dbc06v10nY/JMxUkM+SopUj0dVrh4mj7amR8LgeBXsCM
ZQb765DdJVI2rHqkdAoMHIdandrenBNvjqL6OJvJSZFLFAjNtVQhCU3hPI9Zx6l3IBRYMray5Hck
4dDzTyeyvYTyLuOM1nEYTd2m7kJvGtrMYs3pdoOoF8+52qKnjIRvcF0hzHYc+bgcSa+lrp4LJYVb
NyVGv+njkEJNpQHC0h8++BVXkLv0LkfngeVNtHbdVOPWiQMCjzVO28j8MeiQuqQWxp1WFTH/FKsz
QG+0i5Pqk/GbVHe6P92ZuTY/zn4eOWkHI1TrAsk2yJprJ1NYlyIhkPjACyflL9p1r3WPdZSaq9Gc
otlJaQqxK4XtRu0hfyQDcdZmVrtTVjzpPeLNIVqUiF7XLIdjY5dU071I3HUfEUxdlOF9l8p3JgU1
c3AG64WAgLTw08kpOxCzpSg+0WBTXGVUq8dOL4k4KzD/JSEPugFy2yZw9FFGTHbry9q4MjvBcuIO
Mvr72/NFC1hF5Iw2iVLDIo4FQgZqo7fbv5xlDEyDOD+1nECI0N1qAP6Gulm9f5nLgd6f10HWBGxQ
4bW/LAJaYyG2h/kpS9NF3XLPqnRlZtkzyyVq/slaUsnSTT+Wq9RMNo0cHkKsd/iz96xUByYzdmwl
13CPbvRK9BTaaR1ciDzw6f7puBB5BdTZPOliQLn2V133mwLmt3cIY4hBZgk9T/GiOallXRG1VpKf
BugQwXS3eB/C4oMZ0QU0ZAkpogergNfD0AKIyLj4HpouKacs6fpTGeB8BWC1VRghElRasW/0PSwG
oX8UyrS4zi2eQUvcIuNhxDaBRV7E23Ocwfibu2umptZtzq7UFT24Q7wbSMDZyqEhLWbaUyREO+CT
3HOZ90bPBsZtQAluiO58SdoUQDBy1nkAQ9VIuhemUeIlrfIq1PJKw8RFr6vS7YlsF6eoMBWGiHTY
iihtQn1bzfJX/Icvo4F9UsODPhrpcZqN3jaMSdiI0hAfxZDIn3mEwcHcMiLDFOSEFAWf/E7K7qoB
uY8lBQctIxax0ct2o0v0Ogu2OAlgMMTQxCtF+Qz7BeT9zEBPUtKDL750tG1ol7EuPpkC3RpjkDZT
rD4h2wpxcdJkK4FxKYLocr5iE+M1wyrfMWoTsk3dZpqdSeOOGehLEsnhKzzNtahXmWuk4VEumEkq
TbUiiA/2lzzeZEQbEEUPb1Gfx31lNB9M6KTfPg+8kCaPA+oDsKk/v5e+IhQ5/609QWd9Uawmc+ey
T0+6UDGqa8LnoKGXC5HLkfSRaIbvvJT0yF3BP4lSdiMHzRG8tI0h+agV5iMMhnDVoHtedZ2obpnI
dNBN6CQivCfssVCzjcym7g5StMQ+gk4jmfCGkFaAoVp1G2TkpROaWLAb0J3HWoMyulrp2cy4RX+x
lulOL9G8rTP5XpcnaucJ+3QrcbwFjF1rdNzrQX/E97wdfPmLbjDMKgeWASvd6Pl451vxwSDnoiqU
W9zaPCEYISf5Vuv7YxKHtzRDbzLDIkihfTSTRLWpG0VPr4hIDKveazrcweZik+VUjJBaZufQhReB
Z8IpLeVJUoRHKewrt2oZCocGKt9ZgPE9Fp6k1mtRjLdW3nsy7gB2I1dNWtExzWFvAEMZpJ55RApy
NG3vlKE8Wea4bfAt4T98rTAV5Ya+mAKOSZe7CcRlUMgHI9dXQ0Hmq0FUbpQbjmxF1zS9ki2pQTQU
J09PQTiXFDSFHnAu4WXsBet6qNpvoJ99eu6AsjuYEG2XODpkdDloHTScB71R1pFCn9GUggyd2Uyb
lAo16cKDANsjkYaHoiDgXYiuCMO0g5DAuUTYZ+zi4RDg1k2f+rJZVQH6PVoVriSxa6b+QNQkKZV1
Vrod3VRiIZHLIbuc48Sme4UbRQoGpxFZdGdZWsVAywFkXPmmtAnyFk9ydchNTFptmwqkVy4j+tTY
qcGwL7+7TRbXM6ZgyRnI/gpLjKwNp4RUd2Il8+C+LiHPV7rmGQmAc/OUjSt9WhXqxjf6BwCidKzF
o67VtTf66iEOB/Izfd/fd3JvOA08JsfAtwwICVgFdcMGRTryON3Y1D1ViFEAQzFwuvd+LX2wtV1M
ub+v3G/e1O/DrTeiGzm0JqzVSQfhF95tc8zy0Rl7HOrDOamPEieW9/eji+n9L9e72EnlMMw5XbAy
FMVXUOT9eAPnPw8eB3Xz/oUWT+Sbg/sfe9ISm0cMoGkYjAJ/XoOGBhw4cbIjmPMJe0lElmPkywun
p9iGBaqJZOz3ZRnh2gO4hSQPm40eFwB8YmziAz/XaSThG8PF6zFXaO0p3SchKs5Esd+mlG+cepAT
y7dj0Ixu3gYrwDzPeaw+CGFa3gRd0nsaKLZ1pnV7LRZtCgtvAgzkUOKt81YxHhB23ZZEsdJJ2XUK
uBpF3s8B/eLSOg9JsK/Ztg2iSRM552USIAKYNEmlh4wAoCj1t0MJ6iodTRuJ6QtNXM1Jh+CpwgRE
tqTfAklSgg/u6s/9ll9v6sVgP9HVHJKXOZ7M8TmcP0/mBwlxH/38i41DFFJq5CCZwHTeEkBgV8r9
B4/F+0+FfvH8IX1IxEQOppMmX0WqZHObxHD6o6v4T2fCF7KB7w+5rjJ6piSVNMjkPz96o9EMIWEA
08mSkTe/tkNGTXIfjcYH38b3wLyfm1OaYhgEetH8ojSVLi40xRE277mUT5Qxr2xq7l26QiTuYVl3
HuzcftiS9nn4fBM54afReyE+8DNvdLNRtu/fVXnps/39Qf54Lt4sI5fJflYfWaUVsIy0q94VHTAL
t906uwaZ6llOCtB5zX1eSQ6pDXboWW7Ze+opf33/U2i/+xRvX/kLRUjqN6kpkyBwehy3ssdwZWVd
GTY4dTt01w+ac2Aet7ZO4Wrc5Lfa5s53IZduWPfseV0AInNpnbmWKxy6Tb5uziGQKjtwPxV2dxKd
aa1trS1Dq019n61u3//olyT2Px+Zv1eriwpakJsoLYWI59Iu7HLVfEXafCe5UKZcBixu5OWrbFes
r14PXrfVHA7s8S62rV18Qmvu+B7D4i++8+n9T/VdfXf5tb65ofrSHH2zO0RR0deGzqcKt5YdOvMm
W/t3OdhvojFscAo2Mnw7XZunaiM/00jz3r/+8vj+evm/36OL1YalRmCwPo0ncS48Yxj2s5Cc+k4s
PtiUllXlvetcrDomnLC+n9PpRE1t98OrOG4G/TP+zEokEb5cvf9b/X6N++u3ujxMChmLv1bF3QkL
Oie/mzK4/j+7wMWZTxlNnJGIvU+Jtpdj+oDWR0kFH3wxxvIivnkuhKw0c4NA5FNRnhrsDaUM5dX8
4Fv56D5dLG6NlDZxb8TtaVy+lTkF7/OvZ20iqf57oTYuHrAO2EmXN9l0GvrRifQTTGiHfIL3v44P
ni7jYlXS/UCYaM6xGzCQVa2cwXtLGGDnGFPjxIN86oPog1v32++HKEUD37aCievikiYpnH4Ztd1J
zb7VjKsVkhT19fu/1m+/njfXuHhp0sBqhCpUxxPYXfr311n2QVfhowtcLIlzko3MaKv+JLJo04xO
lPSD2/R9f3zvxb94jsOIoY+f8hxzNrCJ1tn1m+TIEQElqxN6wbmzs/37d21J03x3rVl+6zevjkT/
T2rlkD3qkcZwzqqKwciGlPMiHeZtb1/NTsl/sDUvc4j/uxbsm9ZbdvWrp+pK2XFqh+HiTa29yZ1w
/dHH++1G/uaN0C+fnKgeRMnnpZPOy0ZOqOY6Vbe55NjJWnUfcnvH4Hr/TfzM4ay+n/aDPXywesnL
8vTel3LxvfdCo4eVNVFLuL1LiuRsy7pt7VP3xjrpB2XduU/yyrdzOrarel2uTUf4YIX+6CMYF/ue
ADEZ+UfZngAn26NLZzP+oq0k19h3X8dN6WUHRvVr4VvwpDjjOjkDUv76wXPy89zxR6X99y5x8Zwk
vZKpTc6jWa/GFfm8drRUddvEueu343YbLUXLiayiBxHFdbYq18YVdme388ItgPXn1Png8yyF8S/f
yt+vu3ZxS0zBYjaUs6RUHs6stZ6642pezYdoL9mvwRaAkWNuyw1NvcPoGPceOnu+onadrG4jdykS
/iwO/t2S2f//RvfLkvFXi/eXsN/FUHToouY/zp+jpvydpYi//mZ4z2RcI1AXRY+FrOnN8F76hwKD
SMHjKxIKvMz1f1iKiPa1+Duk8ComZDCLv/VjeK/+w8RsRC6FJEJDXEzBF1LZ96SzyyP89yPFaJ0A
YZP/UVGLgrCWL85itaxoDR7i4BykCEHlfaR+1G2A5fzTNZbXyFRMfhA2Zskwvzun3i63mVSIVplS
QgaJsc3DzlqNshzXKyMbj6My6gP02qlZz9hPPIZCEDqk1tRuZZiyhWuCIT4atWExnSOh+NjVglk5
RPTo1VHXBXGkUdjRKRRLCaZIM4heUQ4iU6gwy/6bvfNabmO7tuivuPzerM7hwbfqIjJnBeqlCyKh
zjn319+xQfKIAdKxDD7gVhmusstHRw1gY4e115przHkpobbt+4IOksxT5x1XxWXp68Wcwj6tKGYO
OK81L0PIQssck75Zg5PrMsDNTZ17ZUbJLE1wm79Jy9H/kWDKsNCUgC6UqQ10jxLmoKshvZn8v7mS
g2Od+3oiazdgg0Et5EVfXNVQxsqgYJVSCCVb6H/VcuXE731uYUiqJpEDCrEtliiVT7vGpLhUS+eN
3342Iu22cKqbMhpPvbT9bBoJzYRmkeEAp58WpT739OLU92mQ9bzoSCmpkHq9edKRr7dl2hNbL8NH
ARmcTBPRSEWwNKijh+FA77IlmkmLC+qn4aGT+qdNz2FiRngk57CodZdSmB0rwO/oTBwcB1mTCcSO
7gg6oTTkC31vLOFxjifFkJ+0rrTsk+iwlujDTmKjnAXaSB91Pi+64IysIW1Nml6QR8yX41geuWVw
TZtzvAxTAzEwCc1ypAPLg4CdVj2t0D5F0LI+8TWh8h1k835oowrtM9lDWTUXfc5U7ZUAl6Qa/BJ+
g0COj/q8OOvIjEyUEDFxVKOORd4WTrzQuDH0IUOdreMxnFKIg40L+tLV8UAY6rPCbIXvbHnURv2w
zGJ5rZvNg5IY9pLkYnKiOQkMGh8j2Ks8tRMQFHpg0DwLHcFSpGMnCpVlZcv3keQfjaZ0TqHzU+1L
y9jHqdbG78CNbDqJiSwS+6pNsRQIQXCW7pzM1jQxsa8EobG0u1qdFRoDb6R4PcvtF0X0a+dUM8BX
fwNndYYcEHFx2R/TB3g58tBWAZ6B1nvUEYPm0kqt8PyU+qNMH081F8m39bl3v2X2eGwluCcayMtL
y/hUjMQvbf8dL+JJU9to65IILclw6bmhgh4s4lIZOXdYQ9xpMI6gfCmnjp6iINQvCv8QpY8/9Uew
gMZYLCxfuqUQ90kn1dZ7tM0Yvnept8hiYYBCCGyDk5omIQBd9OK2yudc8m9tO/kk5RQCUpp+vfyH
avXHhSMd970MfjQ0j4vQWcZm3CCyq2ZUsUC/NHp9rXfhMd9PZPK+aVDJ0cvRnuhksG9ULQ/PE72P
DqnGqHdZZ1tfKzvDE7EfBvdTIor/vWtRj+5jBWCoizAhqDH5fZQLQOLz64HGaZXyTidkBW1uBOeN
LlTn8UZ3gPpWrLCNHqEQ0gRbiBRGIVfw0S1IFQKGFiWD6+e4zwhxQ607FZOZWlErpA8UjMG/q8Z1
LdOLAEi6mHktUgkFzUSbDTeJEFGEHRpzkus4fKCwMBFa8MvPigaCsiVEGLYWm2euEGb0Y45bmpl9
170Q/2vw4yw5oES6cSsLYUcVDhGNBt5pKEQfg1B/1Nn3BjVIiCrEDlXqc+hE8AS509CNUD6cj+hI
2rD+YZXdBdLrEDdrOtqxOLlTw2YB1exbNtCPtxGlKPRqux0k7bpKYTDC06nQsAxDAJIbS7pCfUjM
ul/mqF3CtL1r4agaosgw4ipfoZDO0ccUEdgE9DIKuhkk0EjeEdJwwbzp4+E0RWFTF2CSpC784qHg
DdDgtH1/1qLJ8YQ4R47N6xq1joFqp0e9k4Hyt1HzdKh6lC7DvW9sF63usFmg/OHXgFoefUOfDhkf
bRANfbBihVyoRjdEAtmf+0JKFCJvUYS4qBIyIy+1blGoHteaifsrSiROghOaDCLmT3oZCLFSFnro
2pEvQYk5NNAzsd2A/ezPNCF0Snzr1Eb5VKKAUqCOO3kLnS6b5nZ0oaGUgjUzqYR0KlGjlWRLM6ML
DpsYlnjRuCsZtZWuYBcn5Ffkqo919FiVEGaFenUcotQqDfObi3KrRRms1+2Nq1szOGLjohIirwQL
bhnVlyvkXwM6MFkP6cZEGeagECtQipEJAY6JdqwVIjJbyMmo9cMIVk8bdGamm53IQnimCglamsgK
Ki1kafBFSL8LqVqEZi2VfaRAsn0hCzlblxaFMDnFDVSI3QAR3wdC/lYIIVyXm8wXIY4bQG5ONCGY
w83bmqkbFV03qGckbt0fL+Kzy8eA5qWG8P1l/LE2ThQC2BQbD0KUlze+yFBAA7jSeRh+wrQqcr7r
xt/cxf/uLd5cFgZmsRk1vIVcDCA9L5r8og//Jo0hciE/ozURSYmvYQrJJe7WxluppYqzBlaqgXch
U3S3LfrAT/v+FjHR70dL3O7evo0gbusYoqm4j725gHpZOGhW1HL3BvZUUFesVNZh8anR8cBUJmZV
otx/rDr89yohJLm/vUqgAp7G2zXA/NXnawQUQu4PCkBBcQEUFjM/AYVAC2QEsjZMU5zSX/qhW8LN
xhQAAh1OD/zSn9cIk2sElw6UwzJdDn96jXiv0eWaAlkO1rtBxx8tVK9XmKV4ShyXRnah2si0VIGZ
U7phgBWGkFHtPYWqfbSIodKlSaqCB0r9uwRiHRHCwgZ4RRPBudUUR6EhXYwS2GPkXNM4tLLTWODv
MH/8PMDDsx2AP3ZFaGFL9byFmWeWLi7oNfKMDUovC62r3sPbaVKOYS4jqTVlbhEGFwN6Qs4x0m6B
bOnt0ge5MY0MtPWpXPu4rKPpCxEzKt4wU2xvProZwYVswC8yu2QmuZg4YS8zGQbif4wKKIb3dT9r
W/lTq9QzCxuPTqVkXDs65XYZsrJRGvcm3xNeCM8tHEFSabFZk/uOtv40vHcCx54PbobQNOGkjQci
SFocjuIc70o56edZKslLGaXbiWFI3akbgBHCBIJSZBl+CoqEUyimXQeT1YsMyLIhCNHdCFHMbG65
daB0i4pP4naXF5D9aPo71Xu8PGgzaGA6ps0slVAldLpcTJ2SMY2K5izP6VCKhixeIGJc5qVxbKTq
5yRs6boVOIKORvgRbYyl4eA9RMFDq2hnXjqej2rSThsLiE4Tll/jGopgkwnD6vy08W3MzGWVTmqI
OdLY19MsAmZQZZxGeR1qs1g1j8LavIrcgSp/V3V0eHnzAs7KAkrPfaFi+KPKFeZn8N4LaZnJCUbh
wYUSNycamJ4pmZqTomXOuE11WQRmPbEjhkYm9prrQu5MAFuFzbIotDPL8OmNdzJpWtDmQZ8bqotc
WpahRON3Vp2NEVZtRkn02NjmtWqqZ9xfs3k5kKHWEx0pRpQKleUYTGK9pkM8ki0cOgjpveq2d3p/
0Ybpmae734aiHRaxZC89btkzo5Y/60XxLdQKJEtxOBuK2kR74115xNhKj0TH68+LynmAxgMTs60Y
w8o88gpgTKNpnNZNdREgh5GussyKx/XQx9GhlQhlef4ZMH0B6B9/cfzEz1L0YMdh7dxlkXxdG+WD
nQ/TkraifPQWOAbP8qo7dmppUcrqSRb750GWHfdhdZ5m8WWboqJFJNQAwm66I9M1fnC1aULiU5hA
QYOkgt6sdrxRzfHMK8oKP56gW3gBfrydZvK++jKPwXcKx14EztDftcvSuKtguSO/dT6l2Bchxzwp
1RJ74No46jBX8fLxshnVQ5dWLg6Y5orNDs1PPaMpGTVjQIrexVJYq+pTW3gMR9xdaNy9thRr6g7e
zYilEcBvbia+cChWS6zF9cRKl46n0KonnIw1UvDI07zDQrgcq8LvOBPOx1LDzElzJQSnii9yQgHC
xijZ0tMfGcbJiXBQ1rFSHlOUZQr9r32By7KhwfmTS9eaWGH+HYElBMXIPwt6m21Cli+TjLZTjASV
CxDja220+rk8duumQlaVmP01vgpI7tP2G4HvotDlr0NgneEctUCthXIUT2cC2koHbO59SXunmUUd
LrP2sGzdjIRHeekE8YkM5HMURrtG4Z6HWO7NAjM6zNKBtiTJ+GRDS+OdEfw6+q0iGyoqYKyYRtRw
8D7Dfl5I6lnPMri0MufaGKBpxjr+QDECFCtWJ2oekvfMNJjNVk1vASTQOqr0qRPQ6FzgTlQPKGPM
OJ4rdvbDc+6D3Lquau06Ykw4B5Sp6qUx/r72ZVKrC9nHLMptkV/lLvrsduyCadeGS78ggA7CGO/r
WnoIeJxtY5VjGN5xbHjnQL2iCRew9kSXlHTODzocGsjoBNVJSXJ/5kGWo5c4PXR6RMkNkekRYLqp
K+FShGEliTTEV9Y3CKXBEdsxTZuAoTy9X0h+caMGOIZhTTj1fLPB41PYannVPQJhnEARS5WGNU7a
oqBKgOyRBpSbxuhPdbkKp5JWLBu6wIwoP+fuFh/lSnfh1f21PGRzBLgD4a91khXOoUSbDFL7oVl0
jbqOnKafVJZ1xf0AXybBYt2EEf+Np3RqFX8bT5XNSOi0AS0cPfzrn8qGEiX+5otwysBWwoDlRARE
EvRVOKUBEiAvS4boNVnRgloAywCpLTGO0Fq8CqfIpqqCQSDTwQQK8Q+ysogbX4XgIi8rI5vmakRM
Z4mP8jqcclwJUZ9t5xdpH2Tg3c2SlplYxUYr/RIARJ+TQFWIy0v6DSLsl0ajPioM5UfLwTjJkqQ7
7kS/NGFFOKvl5tDL6F1mPGZaiTN8lqILFL4JoRV+79wSTHLLRbhN4YvGGMjNLdJfVN0H55Kmp09G
adPn2GkD03w8peb8yfNq7LGCL26o3XIMpxeWoAZngh/cCJKwTH7uOAEu7Op4nUSOc8Vp3E96Zj5Y
52bhqSwGwH6HJqsjzPthIffpXKr6awKVi14sJLKj5y0rizTn0hBLrWXNJVZ5g1cb5u5DdlaJZenV
2jKSHR+DwOp+EEsX/552bonlrLGucfm90Z1hAWUREhwov6osg6OWvUBRfGva9R21X2E8MlJA2ewd
PU42YjfpEUTO4hI1CuJmd7PjiL3HErtQHNAwn7AxOXlw7Iidilb0+cjWFYo9LBC7GVvSshP7WyF2
OknseYrY/ZpRWzRsh5rYFxG40o4g8ihsmWAar7PqQWUjtXhcI3bWQOyxvlKtfDCa00rsvzobcSh2
ZJJe9IaZsK3Fbj2IfdtkA7fZyMmlZ5dFosCcYI+H25fTXiMs+MQJAOX+VhdnQtQ6M5tDIhenBbHQ
YSTOD5ODRBYnik3E7nLEVFl92XHk1DHOGBxBmTiLFCP44ojTKRXnlCtOLIeja+QIG4rhq8qRRojw
TRdnXKK11wQz2MVz/PHOPRYw8boVJ2MqzshCGWh049R0OT4dcY62WvldEScr7X3qUUDA8s0HRTEv
rMYx5kNaYWw50qWB01wZtvm510rWce5l1VVfZSpH1+DhsqzlAKSoSxD82N1xa2gYCls07feHtYZd
maF1M80t7xwdVDAdV4d6lPMWaIDzJjosO7QBjcEQ2+AbpcQfP2l5pkx0deimWm7d2IV5UivDOvaL
aKZExnXs+t6JObY0SmPT63czxQmRGphkdRFaP4Rj7hzVmfUA+cebaDbQa6N1KhDO1RU9RAxxeeZG
sj0jAZcfZxZBLULeSRGR68dOgBluQ0XvB/5G32Kr0HkDKloXBod7SS9MgyFcLV+0fpNNzQZIkjvG
J4UKlnSUzYJ2btq36N6y3PS4C9VqhhLzLsT2ZmKadX3q6xKdjHDI1rLsRreZrOd0uNkk/JTYJ6nz
39Pp8Yzh3vub06mp63W55WTib704mUQfr8hUCd8A0QfzF2pHOXBANiCXEf02gAp/1gudA42eUFEP
5Cwz35rTwpiUZXzsFYEuVP/oZLJfF8U5mRDy0lJGuzF7BXn7NydTq9JFX0jOcGFwCV6gFk3nFaFQ
hDbEdosTWw57A/yEIUlTw4X12XWYVibGEq4oPXQC9Bv4snHaC/hvG0LIbCq4qFRIp/GgVQtVqZEY
CGxw3xb5lapzdaaBEvk5YHYMgLKvjgBjShAyU0JmttTxKgnIx7oCoynR4jDRIGuONojNVMA2vRzs
ZpB1bD42zbANewm2O+pVJDCdbYKtZeIac7kE4SkJmCeggepIQYlvg7wH9hlA/dQVe91BAc2ggeYC
C1rKpnQUClSo58TxdBT4ULkxv6mqeu0IsKgLYZQabgeepZlVIkx1oZDKnEGFwJL2XnslwylNQBI7
cEsxq/smS3TDCKBpMHbqNIVxqhuYozdQT8fcfhgFBhXntGJqq+3JIBCproClSg0KBB+bBQeOaiSA
qgZkVRfCqiUVZ6RavoYBx7olIKyBwLF2xvB9DNRzJUAL39n5dYDD/FTmUmpfVpotDUs8qwYAxMJ1
V6YroihJoCgU5vKMBrt+QZJ3qcJkaBRnoZTjerTtYG5Y7UnaG9hVlhbe7RXX+LSpBGuZbqfSRs3v
eFzDO1X/ksPQbyTM8Qo9n7e9asyqYe3SAkFkXU9V11sNQ/qjsbxsZkWUCGt9JASS65i7ERDAcsAW
mBYujCVz0EHjyi4w/lOgLE0pWJrTUsfMFeDMUQvuIQyzq0ZOZDa5HG+DmLtSAdUyQVukpctGMa/6
zvtCwdaZ1EmFGW4dz1oJHoQN/AGGL+cL3Xikd4ZRPrTiNJhnCVrWTGi7g8L5nLvA4hIu3nganLid
TWdVgRa9NoKVPIxkwNtsZfWgQABqBrNKcsdDt6arAxdD+pA8nduv2lCjVcYcHA/IQ1yhbizXYk5x
wh/SXXdWu1xkmjQi9dOPEgGB6IPQ9ZNY6q5Mxb9LEZpN0j6x51RCThNTPcRcqAan4Vz0aVXNYkmF
wuQrR7InVxP6BMltdC4Kpri/yHAIgs5BPreL7puw+RIm2vd8oO1ch+tEe8iaTeq8VL2Ei7h93tLu
PgcEWdLblbanzlBdarn2EOp0d+CZfqjFw/cuBPatpjdBGofTxBgxza3lSSUZ3sI2wnCRe/BJapdO
66y4Uj2cjcIwWocj1YdBdZdj05FfiSVzUukCjusJy2CP5JUXxHMpj76kXfYF5x9y7K2+KuXwW2rS
QYoJCh5uGeZn3FXPmsz+HJbSCW27x5Q0ZOJRY276mPliwEdfW0MwqSDcd6S7uhiWVpidQp/GGxnV
+MT3rK/1SFtN5GnOYZtj5lMlYD87onA6pxz9Qo0yCjUFVJ2H/x6Lm2PR4BT59bF4u/ZXyer9sSj+
1otjUePcMchmc4ZtRCR/HYvaAY41ZMC5KKmWoFk8y2iEQyl3MiwJaYPDn07jxHyW0TgobGBqoL1R
Lf7Sn5l2GYqoifysmXAs6qYJO5X3otWOWwt3zZcVJkzWNTnmY1y0jh9VQKBxzDHkwzBNpeMm9uYK
u9jUEMgat22O+m5QuKZRM1Za57g2InOa05yy8EJajqWMnELIdEyVIKa5K5mHTX7vqT1TdqybnmSF
mTXSTJOazxX90NdDEnZLszRdoriBPGpvEcNDrMittjzjIG8mhqeiuLeU7zWOoDLWwod5l7KuQ+x7
6K+LMPBsrgelv4J7Y14VGP+Qqe1AnMYpijbbTCaxI+5iDVC8gTYD0lfJ3O4jLHsa6VAJLXceEqxO
7CZ4UFK158wT5td1GraHpjDwJLeHeYpGg1PkpsqFq0JI75uUf4YByaFFD/wk5+1H4UNYWlQZQeTh
2iJcCrntQubBuBCLYYjZ/nGPoWFdcqbVqbqqaSc9MYXrYVa3Bi1d4XVmVFMq4yetJCOQNDXa5xJW
+egD/CgxUqSlGuTCxlvRlj7lY3XjYLoIItA+MorxsuyiYaZhzEiW9j7DqLGg6D8psW5ESXVp1O6t
10II6AgDWkwey1w/kjF9NCrct1XhA6mkukX6M/sadvGxiVVkH+IZOWAe2QsXyaZ2FgG2kkbqrHPh
M6no5JlC4T2Z0vw0gbtOclmYUwZBZ5GTx7BSxbnSxsGSRHMy6YSpJW5r/VwSRpd0WOLpUVVfzLa6
s01IcxikzyO4BTirBlQfcMzMhHVmIpPp7G3Tm1Vyf5vx08cb/FjQyvU8HXEsMmMpm3p6c5kLXpks
yGUEbPf4Y35tQZphx64vXE15yAXtDBFTfZy6KjoCSGgUytuFKeho4AKwMmW6LhuZDl55g1ELFGrh
ua4dSYKx5tm4WGl2xkIAwDYAYtOj6rsmyGyO21lzJayiWWPihpuCLqpkYetgY0adC7pbgHen6bvO
xAKaCF2LNeL2GBq1ggvnKsVUE5mPDmSc1yJf8e3+QgMmpwKV84HLmZF9JAGba1Qg7URlZw7PBDBz
kxdw6UwAdVFifrGc5AJyIEeCFg4zF5hdRIcgPJF1ldZf6emVuYRxbmZh7swryymnmcOFsw65HUf5
GZXaZSUlnyrweVHhndYJpvIKYL0AnY0KaA+Pe7oiO9h7Zd9fJLE6HttyfOfD6TNMQIGm3FlHYWGd
qk5yHsD0iwXcj8KXSuUkGsWdDTWKDwQQEmBw1MAFVOEDkgu9ixUia1ugA00YgrplfGnK6kIVcEE/
ypxZL4CDNHYCYREQQo47ykhNvfR0FGbwXPspVuHXnel+GQXEEDJIhWwDjIwAHEKIoh+HICmHf+iO
5boQQER1xF+5cNRDWcASfYFNdBjWaQtJUYWoWHcwmDUBWWzDSqfFtTQPIwiMdFWd6BAZA9+30GKQ
CYihNcpQG0dTu3VhJ4JGoScYU2dpgtDqGiXjHdJowdJLr1SBgVTgQZpOs6yFVKdIbZeWu/aqpHTh
wpBs/epM3kAlc/s4EJhJ10quYriTvRVIxz4kykAgKeW6PzZhVLYejsPULo1pWBDXm2kXzWMBtRxl
/wy9EtkEorGZVMY/vNG9LXJuFINCbloTeMzeDx/K3LjwMsCZskBoUmQnlDfBanb4fRzWkDYtwQIb
i/FqoB43lwSOM3K8m14L5o3gdMLrBOrTLvS8PCYJSRit+N4US4dhqXUm7fNmZizcZPiKY7TAba+I
N4NlL/CgNpxQgqFPKtzQEZesSaqikmv1RYn0q83skwDSaIjB+uHIJJp2owkrB4XkYCn3I3xSw2PP
7iGWmpBLC6Vcg5s8qyGa0iY/twTitBrAL2vKXYbqDl0bbfBUvchZHFrQUWUP8+uWSYCMi507n1iw
MGaGQKr2g3Wbw1jFjmEd1WyUgWZmc7JwSN2449QIUhSSD3BtnIvSAZ2mQm+NmbeE7HrIQoE61qq0
4TrlVUlHNwKLEXnj4K04O8t5FvgNrZmk3NHZmhe2TcVNApKwLKvyaxApNwZmxNMMS13Fqu+wYCVr
xL4wqbg04Fyf04PYK3BX7e8ajZXL0ikXfL7vZYjcMrWzh4pUCqIhsif4X4/nGGkZMzcvLjnzEB3y
Z10Op8hJcaqhA13LpWzuJM2Da0a4RFrFg+anF2Ho4JInuVRMWvdMQU420b2B7rzMaVFu1pgvhw2J
3JodzLUNOpNkVlkegGAlA5w13uEAZn1usU9KRO+dlN4M2eijVg2/RRakGeJmDdHrEmD8kjiC38Bt
bxQjV6hyFtbxKFlHee1zFKcUqGNCI2reI75dklJdUBGfeUPyg8bMbGonpGDhzxC0e6eyFgCsqfMf
tpSS19Wduw56/1wqAB6QlVtFPjKqHGGPjF7pqsTPi928ctwzvfWXfqAbEuQU6HkomZziPItB82DU
EsieB8SnaEfAe07hP7at/D8ofjx9xK0o57902eJPLzMwU7fZO97zv/UvPZcWtj/oz9jQBKqvIvPN
B9vQqX/7nHhV07z0AH1awwXTImVF0gl9Ei+qIthse09/LCmqCr4Od1wodS+vQ9s//PU7JPavRuoD
B0F+ez3580GwhdGHQauxEGltGQQYfhYvMmZcTxjwFxPlP/uC/85A/fYXfFseEzWoHWcCg0B20ME9
5e0UUPj2SJAQ2O/ptxcVth2/vXpgcRMwNqiVVwtAsQ6QHNo4rxmPk2NPx0D5iL2AOzg8SGbB81d9
PRQ2xrgYW3NP3odBeJlzMPhx/oM5wEz/uRVSIBaJAEfBRFi8mO2vvz7efBiMQoJiFMRrHwaBX/31
XiB+u/9gJHjOq6HAXd0mF6JtvqiQHr4aCk4FFYkpbut7OQYGeaudx0BMdlNVSDA9TgcxQq9ORuit
Ngko6jN7Ogjq4wd7xG78dWL/UXhgH2COpVLRQoUhXgzr60FgItCAhuRhb2fC46G12yBoTHXCIE7/
199e5mRUVfy8HreMfT0fjcewZZcx0PmdRS+8RseSeL2NEwmRGAdFBky8r6th94ngHChie7XAAmxe
b08IVUPMbUFRFhvmXsaJ8uMy3WUmOAekyjWW/C+CZcTuBueowp6xr4Owe7hoH8CUd9Dg/2I5cEBi
CWobFDv2dRAep+guM8E+sGhBAI652RH4ry3bo+MoDINQMGwCqv1cFLtvj+x+IhTgCrn5pmKZvT4p
uEazfZpYO+/rfNg5WMAyykLwaKliZYjXu6iRQ0TWNaLGfQ0W1N0XBTPBVC1OyqeZ8C5iwhZcYRro
+5tQedyydtkZzAMoLKZBHf5xJrzdGURCBXIBKt69XQ67X6I4KFFZQW9lZb3dDFB7KZZm7Os6MHaO
lajeW7i5kVJ5Siy+2wxU9HAMD3vmnu6Iok1ut6ySGATbVHT9/RTQySopGjZBT3vlno6Btvsy2LQx
WhYJ1se9YMtEwICEwPqp2XL/kqvK7vGBecBi4CKtPw3Clg0RTqBDzPx4Au3hIOy8JWjkWMmvGtQY
H4Okt0ejYhzQIcupwWVbvPZ2Y/iIRUHZhc1Rfoqd316nuT8geEIsJS7aexk0K7tn2IwDOHriIvn4
c29LuIpblsLS2dNBeEr97RIqkWEzuCIhY3tcFEz6t8EChVk8jvc2zfgUw+0yCHhksStYMpm0zWvL
9clRDAV7hH3NtQqW7m7BgmYdOFhk6WAAfjET5ANQXApIxcf32r8zQrgO7zYIREwUWam3ab/KuqsM
AlRO+ym5vX+DoD1uVrssB2YCZ4MuujQ2L4b19Z4AT8IhmHCcx0vm3h6Uu+cUEAFTlhf8vV8MBVUY
/ljnqNzTM+IpottlPugHdPapmv0cPb6NFhQOEV2jSMEWKl77Oh+Ej8lu+4OmEUNyXNrmL7LPlOvh
B6BW2dtBeMoI7zIfEO2Y9JhxvX5cFO9iBhlRPennDcllL6NH7THzscsg2JwUyHZoxPrFvVI54E7J
fwgx93pR7JxmIHLgt2Y22E+75Nv5QLqNvkPLVomwNq893Sqf8sK7zArrQJOhAtDp//hN326VKgcK
XZjslHs+K3YPpcT8lx2SCk8ZuHdpSGItHckLF6x9nQ+7J17E9cogCfc0Hd7VJETdGn0j1ryPl/r9
iyffMcj+XN/IoiA44HL1q0WhHKDpUihK7Gs6XnRS7xg5mOgbUThqeDBvXluCatMwuXvsrahJuMLs
OAi24E+LAOrpjrllEJD/kaBTH7fPfV0Uwmdrx6HgTASOTfX6qUbF/eH1JUsWDfvsn0/q0j3cGXZe
FKJkqynEDc9CP37v14OgHkCxMQ3CyT09I0Rb6I4zQSPxIgPkfEpDvs9Dsn+iAiQ3v6/LQd99OegH
ZBtEwvnXJVu86DWdgt1ex5CCq7rjfICuaZCU5Yb11yb4elEQWcmqTGFvX7OR+u4nBVo3DeIFFalf
BNLKAXwTapt7q2MQHmE7zgSqtKh20P4/5aXfHpdkG8jYyhyp+7o77pyB43JJe65sieb454X/ejWo
YufgEHmqFe/fOfnOEOTPI2gD+atqotthKMTr7Q2bayUUA1w4nmK0/RsEQVbYcTUgaDGxNEEH/TgI
b1cDg8AfcohQrXoaJN5xD4di9zSkRdZZRsBj/qpghcpLYJ3xV9/TnUF4mu04H+wDATSnP+BXN6pN
U5Wpk5za00F4hzb5452BghVyBajuz+fklggatTShgvKYnHsMV/dvUTxp0XbJvSFy0WTxNX9RwNz0
CIhEw1OxdA8HYffjUvQIKGhYyChtXu9K2cjjKWMLsvu/vyj+jZH6q/d46uO6sGlNhmexafZ57Db9
23/huSf3/QNetJhtGu1e/Zu3Q75+fPZjI5r4//+zegAcOguqugzua3VzBrz40+czYfNOT3//6Su+
f/NXb/b8vZ7/4WGwLlflvT9s/mB4+qDnq4Te5v+N+Z+H1fYGuZ+f5l//fP1hX2yLv3867fvrtw8X
B9/zPxNf7D99eLJ6yMrnB/2k4Iq4Y+dPjjFQve2DM1N3fvZ0Fa9afpLq+VkvPjvzfffnZ3FTvftJ
GXVOmA94eFqXGDpkVb3tLci27PwWs3X8j3MMsLaNP3vPzs+fx/+YZSWT5/lZL8afA3/n5y9KGDnb
Hk6Ys/PDl/E6TZ+f8+KDc6Tu/OzDJvmexQ/186N+Pl7IfHd+/FGSr8tgFT8/6sXjP2LJHqXDlkEX
Ld87f/KTdbllzEVJaPdHB6m3ZSMQctqdn326irasISFF+4BHV9V625h8xAI9zap//G/qreP1tpH5
iCV6tnpgA34ehxcT8SOW6NmqDLYNzUcsUfHsPNu2uwtf9Z1/1rN1+pDdB9t2L9Gp+AHPL+/XD88P
+jnuoqi9+8MzPvvzc148+yOW6Vm2dUw+YpXyaJjJ62HLJ/+IlXq+yrdMdKEM3HnAz9ft6n3saMCo
/ICHX5QrtoDnB734OT9iiV7Gq/ttnGqRmdp5WC7jJtkW3Il63M4Pvw4IHavgYcvIiCrPzs+/Wd2X
XAnSestZKgRJH/AG6T8m6zTY+gYfsVSFefGEA3tVPmzdyETK+0O+xSxYe9tG6SNWrfgSC1bAfVDd
b3uPj1i+4j2Os1XRbDuthEL3Q0bp732kNy4mO1wExfc4W9XrbeP0EeuZ52NhN1mV37eb2H3Esn58
j9/Z5H3AKAkjvl8bx+z8Bv5q651QCN53n0nkMLYFbCJj/wEPr6JgyJrnR/08bITWZ/fHZ/FqW/Qg
KqMf8HAMRLYc8CJ1vfvD61UaVPGqqZ4f9mJoPuIcvvmdX8SuE/K31O2dH06MH9RbgjbRFrzzwN82
GGZuOeJFAvoDHk6CKNmWlxM5550f/5knNNvWqiDs7Pz0O3wynx/zczIKtN/uj26+b1lIxt+v0m1p
2b9qeu+Ttc9gw21/7XUuWvwb9/F6Vf7P/wEAAP//</cx:binary>
              </cx:geoCache>
            </cx:geography>
          </cx:layoutPr>
          <cx:valueColors>
            <cx:minColor>
              <a:schemeClr val="accent1">
                <a:lumMod val="60000"/>
                <a:lumOff val="40000"/>
              </a:schemeClr>
            </cx:minColor>
            <cx:maxColor>
              <a:schemeClr val="accent1">
                <a:lumMod val="50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16933</xdr:colOff>
      <xdr:row>0</xdr:row>
      <xdr:rowOff>0</xdr:rowOff>
    </xdr:from>
    <xdr:to>
      <xdr:col>3</xdr:col>
      <xdr:colOff>0</xdr:colOff>
      <xdr:row>48</xdr:row>
      <xdr:rowOff>84667</xdr:rowOff>
    </xdr:to>
    <xdr:sp macro="" textlink="">
      <xdr:nvSpPr>
        <xdr:cNvPr id="2" name="Rectangle 1">
          <a:extLst>
            <a:ext uri="{FF2B5EF4-FFF2-40B4-BE49-F238E27FC236}">
              <a16:creationId xmlns:a16="http://schemas.microsoft.com/office/drawing/2014/main" id="{1DC6E4CF-1825-4105-933C-1609BEFF083E}"/>
            </a:ext>
          </a:extLst>
        </xdr:cNvPr>
        <xdr:cNvSpPr/>
      </xdr:nvSpPr>
      <xdr:spPr>
        <a:xfrm>
          <a:off x="16933" y="0"/>
          <a:ext cx="2183670" cy="9018460"/>
        </a:xfrm>
        <a:prstGeom prst="rect">
          <a:avLst/>
        </a:prstGeom>
        <a:solidFill>
          <a:schemeClr val="bg2">
            <a:lumMod val="75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3</xdr:col>
      <xdr:colOff>0</xdr:colOff>
      <xdr:row>0</xdr:row>
      <xdr:rowOff>0</xdr:rowOff>
    </xdr:from>
    <xdr:to>
      <xdr:col>29</xdr:col>
      <xdr:colOff>80635</xdr:colOff>
      <xdr:row>48</xdr:row>
      <xdr:rowOff>84667</xdr:rowOff>
    </xdr:to>
    <xdr:sp macro="" textlink="">
      <xdr:nvSpPr>
        <xdr:cNvPr id="3" name="Rectangle 2">
          <a:extLst>
            <a:ext uri="{FF2B5EF4-FFF2-40B4-BE49-F238E27FC236}">
              <a16:creationId xmlns:a16="http://schemas.microsoft.com/office/drawing/2014/main" id="{24C9475B-EBC7-492D-B20E-A9CC8D4B6CA2}"/>
            </a:ext>
          </a:extLst>
        </xdr:cNvPr>
        <xdr:cNvSpPr/>
      </xdr:nvSpPr>
      <xdr:spPr>
        <a:xfrm>
          <a:off x="2194367" y="0"/>
          <a:ext cx="15963673" cy="8958591"/>
        </a:xfrm>
        <a:prstGeom prst="rect">
          <a:avLst/>
        </a:prstGeom>
        <a:solidFill>
          <a:schemeClr val="accent1">
            <a:lumMod val="20000"/>
            <a:lumOff val="8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0</xdr:col>
      <xdr:colOff>51821</xdr:colOff>
      <xdr:row>2</xdr:row>
      <xdr:rowOff>146432</xdr:rowOff>
    </xdr:from>
    <xdr:to>
      <xdr:col>2</xdr:col>
      <xdr:colOff>144954</xdr:colOff>
      <xdr:row>7</xdr:row>
      <xdr:rowOff>87311</xdr:rowOff>
    </xdr:to>
    <xdr:sp macro="" textlink="'ECommerce Pivot'!G4">
      <xdr:nvSpPr>
        <xdr:cNvPr id="4" name="TextBox 3">
          <a:extLst>
            <a:ext uri="{FF2B5EF4-FFF2-40B4-BE49-F238E27FC236}">
              <a16:creationId xmlns:a16="http://schemas.microsoft.com/office/drawing/2014/main" id="{C7994A1C-F468-29AF-2897-20E41AB5A62C}"/>
            </a:ext>
          </a:extLst>
        </xdr:cNvPr>
        <xdr:cNvSpPr txBox="1"/>
      </xdr:nvSpPr>
      <xdr:spPr>
        <a:xfrm>
          <a:off x="51821" y="518673"/>
          <a:ext cx="1943392" cy="8714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596436-4FF0-4732-8D1B-0C9C6F21F726}" type="TxLink">
            <a:rPr lang="en-US" sz="2800" b="1" i="0" u="none" strike="noStrike">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solidFill>
                <a:srgbClr val="000000"/>
              </a:solidFill>
              <a:effectLst>
                <a:outerShdw blurRad="50800" dist="38100" algn="l" rotWithShape="0">
                  <a:prstClr val="black">
                    <a:alpha val="40000"/>
                  </a:prstClr>
                </a:outerShdw>
              </a:effectLst>
              <a:latin typeface="Aptos Narrow"/>
            </a:rPr>
            <a:pPr/>
            <a:t>2,400</a:t>
          </a:fld>
          <a:endParaRPr lang="en-US" sz="4400" b="1">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effectLst>
              <a:outerShdw blurRad="50800" dist="38100" algn="l" rotWithShape="0">
                <a:prstClr val="black">
                  <a:alpha val="40000"/>
                </a:prstClr>
              </a:outerShdw>
            </a:effectLst>
          </a:endParaRPr>
        </a:p>
      </xdr:txBody>
    </xdr:sp>
    <xdr:clientData/>
  </xdr:twoCellAnchor>
  <xdr:twoCellAnchor>
    <xdr:from>
      <xdr:col>0</xdr:col>
      <xdr:colOff>51821</xdr:colOff>
      <xdr:row>7</xdr:row>
      <xdr:rowOff>36251</xdr:rowOff>
    </xdr:from>
    <xdr:to>
      <xdr:col>2</xdr:col>
      <xdr:colOff>144954</xdr:colOff>
      <xdr:row>11</xdr:row>
      <xdr:rowOff>163105</xdr:rowOff>
    </xdr:to>
    <xdr:sp macro="" textlink="'ECommerce Pivot'!H4">
      <xdr:nvSpPr>
        <xdr:cNvPr id="5" name="TextBox 4">
          <a:extLst>
            <a:ext uri="{FF2B5EF4-FFF2-40B4-BE49-F238E27FC236}">
              <a16:creationId xmlns:a16="http://schemas.microsoft.com/office/drawing/2014/main" id="{720351C7-5108-45BF-A257-086365945B7F}"/>
            </a:ext>
          </a:extLst>
        </xdr:cNvPr>
        <xdr:cNvSpPr txBox="1"/>
      </xdr:nvSpPr>
      <xdr:spPr>
        <a:xfrm>
          <a:off x="51821" y="1339096"/>
          <a:ext cx="1943392" cy="87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3BE0AC-EB88-437C-8BFD-36B4BD65797D}" type="TxLink">
            <a:rPr lang="en-US" sz="2800" b="1" i="0" u="none" strike="noStrike">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solidFill>
                <a:srgbClr val="000000"/>
              </a:solidFill>
              <a:effectLst>
                <a:outerShdw blurRad="50800" dist="38100" algn="l" rotWithShape="0">
                  <a:prstClr val="black">
                    <a:alpha val="40000"/>
                  </a:prstClr>
                </a:outerShdw>
              </a:effectLst>
              <a:latin typeface="Aptos Narrow"/>
            </a:rPr>
            <a:pPr/>
            <a:t>11,997</a:t>
          </a:fld>
          <a:endParaRPr lang="en-US" sz="8800" b="1">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effectLst>
              <a:outerShdw blurRad="50800" dist="38100" algn="l" rotWithShape="0">
                <a:prstClr val="black">
                  <a:alpha val="40000"/>
                </a:prstClr>
              </a:outerShdw>
            </a:effectLst>
          </a:endParaRPr>
        </a:p>
      </xdr:txBody>
    </xdr:sp>
    <xdr:clientData/>
  </xdr:twoCellAnchor>
  <xdr:twoCellAnchor>
    <xdr:from>
      <xdr:col>0</xdr:col>
      <xdr:colOff>51821</xdr:colOff>
      <xdr:row>11</xdr:row>
      <xdr:rowOff>112046</xdr:rowOff>
    </xdr:from>
    <xdr:to>
      <xdr:col>2</xdr:col>
      <xdr:colOff>144954</xdr:colOff>
      <xdr:row>16</xdr:row>
      <xdr:rowOff>52925</xdr:rowOff>
    </xdr:to>
    <xdr:sp macro="" textlink="'ECommerce Pivot'!I4">
      <xdr:nvSpPr>
        <xdr:cNvPr id="6" name="TextBox 5">
          <a:extLst>
            <a:ext uri="{FF2B5EF4-FFF2-40B4-BE49-F238E27FC236}">
              <a16:creationId xmlns:a16="http://schemas.microsoft.com/office/drawing/2014/main" id="{C5E6D588-0682-4F29-B832-808D5A146B0A}"/>
            </a:ext>
          </a:extLst>
        </xdr:cNvPr>
        <xdr:cNvSpPr txBox="1"/>
      </xdr:nvSpPr>
      <xdr:spPr>
        <a:xfrm>
          <a:off x="51821" y="2159374"/>
          <a:ext cx="1943392" cy="87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A12EF1-2C8F-48C6-B7C1-AF728259D8D8}" type="TxLink">
            <a:rPr lang="en-US" sz="2800" b="1" i="0" u="none" strike="noStrike">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solidFill>
                <a:srgbClr val="000000"/>
              </a:solidFill>
              <a:effectLst>
                <a:outerShdw blurRad="50800" dist="38100" algn="l" rotWithShape="0">
                  <a:prstClr val="black">
                    <a:alpha val="40000"/>
                  </a:prstClr>
                </a:outerShdw>
              </a:effectLst>
              <a:latin typeface="Aptos Narrow"/>
            </a:rPr>
            <a:pPr/>
            <a:t>$649,020</a:t>
          </a:fld>
          <a:endParaRPr lang="en-US" sz="8800" b="1">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effectLst>
              <a:outerShdw blurRad="50800" dist="38100" algn="l" rotWithShape="0">
                <a:prstClr val="black">
                  <a:alpha val="40000"/>
                </a:prstClr>
              </a:outerShdw>
            </a:effectLst>
          </a:endParaRPr>
        </a:p>
      </xdr:txBody>
    </xdr:sp>
    <xdr:clientData/>
  </xdr:twoCellAnchor>
  <xdr:twoCellAnchor>
    <xdr:from>
      <xdr:col>0</xdr:col>
      <xdr:colOff>51821</xdr:colOff>
      <xdr:row>15</xdr:row>
      <xdr:rowOff>100403</xdr:rowOff>
    </xdr:from>
    <xdr:to>
      <xdr:col>2</xdr:col>
      <xdr:colOff>144954</xdr:colOff>
      <xdr:row>20</xdr:row>
      <xdr:rowOff>41134</xdr:rowOff>
    </xdr:to>
    <xdr:sp macro="" textlink="'ECommerce Pivot'!J4">
      <xdr:nvSpPr>
        <xdr:cNvPr id="7" name="TextBox 6">
          <a:extLst>
            <a:ext uri="{FF2B5EF4-FFF2-40B4-BE49-F238E27FC236}">
              <a16:creationId xmlns:a16="http://schemas.microsoft.com/office/drawing/2014/main" id="{549B3491-297A-4BAA-B5CA-5BF861FD648E}"/>
            </a:ext>
          </a:extLst>
        </xdr:cNvPr>
        <xdr:cNvSpPr txBox="1"/>
      </xdr:nvSpPr>
      <xdr:spPr>
        <a:xfrm>
          <a:off x="51821" y="2892213"/>
          <a:ext cx="1943392" cy="871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66CC1D-6879-4CA9-90A8-DECB042100FC}" type="TxLink">
            <a:rPr lang="en-US" sz="2800" b="1" i="0" u="none" strike="noStrike">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solidFill>
                <a:srgbClr val="000000"/>
              </a:solidFill>
              <a:effectLst>
                <a:outerShdw blurRad="50800" dist="38100" algn="l" rotWithShape="0">
                  <a:prstClr val="black">
                    <a:alpha val="40000"/>
                  </a:prstClr>
                </a:outerShdw>
              </a:effectLst>
              <a:latin typeface="Aptos Narrow"/>
            </a:rPr>
            <a:pPr/>
            <a:t>3.96</a:t>
          </a:fld>
          <a:endParaRPr lang="en-US" sz="8800" b="1">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effectLst>
              <a:outerShdw blurRad="50800" dist="38100" algn="l" rotWithShape="0">
                <a:prstClr val="black">
                  <a:alpha val="40000"/>
                </a:prstClr>
              </a:outerShdw>
            </a:effectLst>
          </a:endParaRPr>
        </a:p>
      </xdr:txBody>
    </xdr:sp>
    <xdr:clientData/>
  </xdr:twoCellAnchor>
  <xdr:twoCellAnchor>
    <xdr:from>
      <xdr:col>0</xdr:col>
      <xdr:colOff>51821</xdr:colOff>
      <xdr:row>19</xdr:row>
      <xdr:rowOff>99556</xdr:rowOff>
    </xdr:from>
    <xdr:to>
      <xdr:col>2</xdr:col>
      <xdr:colOff>144954</xdr:colOff>
      <xdr:row>24</xdr:row>
      <xdr:rowOff>40434</xdr:rowOff>
    </xdr:to>
    <xdr:sp macro="" textlink="'ECommerce Pivot'!K4">
      <xdr:nvSpPr>
        <xdr:cNvPr id="8" name="TextBox 7">
          <a:extLst>
            <a:ext uri="{FF2B5EF4-FFF2-40B4-BE49-F238E27FC236}">
              <a16:creationId xmlns:a16="http://schemas.microsoft.com/office/drawing/2014/main" id="{710AFDDD-DA7D-444D-B666-F425BF116333}"/>
            </a:ext>
          </a:extLst>
        </xdr:cNvPr>
        <xdr:cNvSpPr txBox="1"/>
      </xdr:nvSpPr>
      <xdr:spPr>
        <a:xfrm>
          <a:off x="51821" y="3635849"/>
          <a:ext cx="1943392" cy="871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A420EF-7FD0-4A0E-A209-674260A8EC4E}" type="TxLink">
            <a:rPr lang="en-US" sz="2800" b="1" i="0" u="none" strike="noStrike">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solidFill>
                <a:srgbClr val="000000"/>
              </a:solidFill>
              <a:effectLst>
                <a:outerShdw blurRad="50800" dist="38100" algn="l" rotWithShape="0">
                  <a:prstClr val="black">
                    <a:alpha val="40000"/>
                  </a:prstClr>
                </a:outerShdw>
              </a:effectLst>
              <a:latin typeface="Aptos Narrow"/>
            </a:rPr>
            <a:pPr/>
            <a:t>2.34</a:t>
          </a:fld>
          <a:endParaRPr lang="en-US" sz="8800" b="1">
            <a:ln>
              <a:gradFill>
                <a:gsLst>
                  <a:gs pos="100000">
                    <a:schemeClr val="tx2">
                      <a:lumMod val="90000"/>
                      <a:lumOff val="10000"/>
                    </a:schemeClr>
                  </a:gs>
                  <a:gs pos="100000">
                    <a:srgbClr val="A5A9A6"/>
                  </a:gs>
                  <a:gs pos="100000">
                    <a:srgbClr val="989B99"/>
                  </a:gs>
                  <a:gs pos="0">
                    <a:schemeClr val="tx1">
                      <a:lumMod val="50000"/>
                      <a:lumOff val="50000"/>
                    </a:schemeClr>
                  </a:gs>
                  <a:gs pos="89000">
                    <a:srgbClr val="B1B6B3"/>
                  </a:gs>
                  <a:gs pos="100000">
                    <a:schemeClr val="accent1">
                      <a:lumMod val="30000"/>
                      <a:lumOff val="70000"/>
                    </a:schemeClr>
                  </a:gs>
                </a:gsLst>
                <a:lin ang="5400000" scaled="1"/>
              </a:gradFill>
            </a:ln>
            <a:effectLst>
              <a:outerShdw blurRad="50800" dist="38100" algn="l" rotWithShape="0">
                <a:prstClr val="black">
                  <a:alpha val="40000"/>
                </a:prstClr>
              </a:outerShdw>
            </a:effectLst>
          </a:endParaRPr>
        </a:p>
      </xdr:txBody>
    </xdr:sp>
    <xdr:clientData/>
  </xdr:twoCellAnchor>
  <xdr:twoCellAnchor>
    <xdr:from>
      <xdr:col>0</xdr:col>
      <xdr:colOff>73718</xdr:colOff>
      <xdr:row>1</xdr:row>
      <xdr:rowOff>80725</xdr:rowOff>
    </xdr:from>
    <xdr:to>
      <xdr:col>1</xdr:col>
      <xdr:colOff>776451</xdr:colOff>
      <xdr:row>3</xdr:row>
      <xdr:rowOff>55325</xdr:rowOff>
    </xdr:to>
    <xdr:sp macro="" textlink="">
      <xdr:nvSpPr>
        <xdr:cNvPr id="9" name="TextBox 8">
          <a:extLst>
            <a:ext uri="{FF2B5EF4-FFF2-40B4-BE49-F238E27FC236}">
              <a16:creationId xmlns:a16="http://schemas.microsoft.com/office/drawing/2014/main" id="{2A97E977-7228-8B5E-CCA3-AF9BBE7A25C0}"/>
            </a:ext>
          </a:extLst>
        </xdr:cNvPr>
        <xdr:cNvSpPr txBox="1"/>
      </xdr:nvSpPr>
      <xdr:spPr>
        <a:xfrm>
          <a:off x="73718" y="266846"/>
          <a:ext cx="1053078" cy="34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Orders</a:t>
          </a:r>
        </a:p>
      </xdr:txBody>
    </xdr:sp>
    <xdr:clientData/>
  </xdr:twoCellAnchor>
  <xdr:twoCellAnchor>
    <xdr:from>
      <xdr:col>0</xdr:col>
      <xdr:colOff>73718</xdr:colOff>
      <xdr:row>5</xdr:row>
      <xdr:rowOff>79884</xdr:rowOff>
    </xdr:from>
    <xdr:to>
      <xdr:col>1</xdr:col>
      <xdr:colOff>776451</xdr:colOff>
      <xdr:row>7</xdr:row>
      <xdr:rowOff>54482</xdr:rowOff>
    </xdr:to>
    <xdr:sp macro="" textlink="">
      <xdr:nvSpPr>
        <xdr:cNvPr id="10" name="TextBox 9">
          <a:extLst>
            <a:ext uri="{FF2B5EF4-FFF2-40B4-BE49-F238E27FC236}">
              <a16:creationId xmlns:a16="http://schemas.microsoft.com/office/drawing/2014/main" id="{4FCD0703-01AD-45ED-A635-A71B758D33B7}"/>
            </a:ext>
          </a:extLst>
        </xdr:cNvPr>
        <xdr:cNvSpPr txBox="1"/>
      </xdr:nvSpPr>
      <xdr:spPr>
        <a:xfrm>
          <a:off x="73718" y="1010487"/>
          <a:ext cx="1053078" cy="346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Quantity</a:t>
          </a:r>
        </a:p>
      </xdr:txBody>
    </xdr:sp>
    <xdr:clientData/>
  </xdr:twoCellAnchor>
  <xdr:twoCellAnchor>
    <xdr:from>
      <xdr:col>0</xdr:col>
      <xdr:colOff>73718</xdr:colOff>
      <xdr:row>9</xdr:row>
      <xdr:rowOff>155823</xdr:rowOff>
    </xdr:from>
    <xdr:to>
      <xdr:col>1</xdr:col>
      <xdr:colOff>776451</xdr:colOff>
      <xdr:row>11</xdr:row>
      <xdr:rowOff>130422</xdr:rowOff>
    </xdr:to>
    <xdr:sp macro="" textlink="">
      <xdr:nvSpPr>
        <xdr:cNvPr id="11" name="TextBox 10">
          <a:extLst>
            <a:ext uri="{FF2B5EF4-FFF2-40B4-BE49-F238E27FC236}">
              <a16:creationId xmlns:a16="http://schemas.microsoft.com/office/drawing/2014/main" id="{AE910AB8-248B-47BA-B51F-688ECAAF8C64}"/>
            </a:ext>
          </a:extLst>
        </xdr:cNvPr>
        <xdr:cNvSpPr txBox="1"/>
      </xdr:nvSpPr>
      <xdr:spPr>
        <a:xfrm>
          <a:off x="73718" y="1830909"/>
          <a:ext cx="1053078" cy="34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Amount</a:t>
          </a:r>
        </a:p>
      </xdr:txBody>
    </xdr:sp>
    <xdr:clientData/>
  </xdr:twoCellAnchor>
  <xdr:twoCellAnchor>
    <xdr:from>
      <xdr:col>0</xdr:col>
      <xdr:colOff>73718</xdr:colOff>
      <xdr:row>14</xdr:row>
      <xdr:rowOff>1704</xdr:rowOff>
    </xdr:from>
    <xdr:to>
      <xdr:col>1</xdr:col>
      <xdr:colOff>776451</xdr:colOff>
      <xdr:row>15</xdr:row>
      <xdr:rowOff>162425</xdr:rowOff>
    </xdr:to>
    <xdr:sp macro="" textlink="">
      <xdr:nvSpPr>
        <xdr:cNvPr id="12" name="TextBox 11">
          <a:extLst>
            <a:ext uri="{FF2B5EF4-FFF2-40B4-BE49-F238E27FC236}">
              <a16:creationId xmlns:a16="http://schemas.microsoft.com/office/drawing/2014/main" id="{1DF8BA31-3EC5-463C-A6FB-4897FD868DEB}"/>
            </a:ext>
          </a:extLst>
        </xdr:cNvPr>
        <xdr:cNvSpPr txBox="1"/>
      </xdr:nvSpPr>
      <xdr:spPr>
        <a:xfrm>
          <a:off x="73718" y="2607394"/>
          <a:ext cx="1053078" cy="34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Avg.Rating</a:t>
          </a:r>
        </a:p>
      </xdr:txBody>
    </xdr:sp>
    <xdr:clientData/>
  </xdr:twoCellAnchor>
  <xdr:twoCellAnchor>
    <xdr:from>
      <xdr:col>0</xdr:col>
      <xdr:colOff>73718</xdr:colOff>
      <xdr:row>18</xdr:row>
      <xdr:rowOff>1009</xdr:rowOff>
    </xdr:from>
    <xdr:to>
      <xdr:col>1</xdr:col>
      <xdr:colOff>776451</xdr:colOff>
      <xdr:row>19</xdr:row>
      <xdr:rowOff>161729</xdr:rowOff>
    </xdr:to>
    <xdr:sp macro="" textlink="">
      <xdr:nvSpPr>
        <xdr:cNvPr id="13" name="TextBox 12">
          <a:extLst>
            <a:ext uri="{FF2B5EF4-FFF2-40B4-BE49-F238E27FC236}">
              <a16:creationId xmlns:a16="http://schemas.microsoft.com/office/drawing/2014/main" id="{7DE3C84E-BE8C-44A1-8BBB-0D2BD4E8D72E}"/>
            </a:ext>
          </a:extLst>
        </xdr:cNvPr>
        <xdr:cNvSpPr txBox="1"/>
      </xdr:nvSpPr>
      <xdr:spPr>
        <a:xfrm>
          <a:off x="73718" y="3351181"/>
          <a:ext cx="1053078" cy="346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Days</a:t>
          </a:r>
          <a:r>
            <a:rPr lang="en-US" sz="1800" b="1" baseline="0"/>
            <a:t> to Deliver</a:t>
          </a:r>
          <a:endParaRPr lang="en-US" sz="1800" b="1"/>
        </a:p>
      </xdr:txBody>
    </xdr:sp>
    <xdr:clientData/>
  </xdr:twoCellAnchor>
  <xdr:twoCellAnchor>
    <xdr:from>
      <xdr:col>3</xdr:col>
      <xdr:colOff>267356</xdr:colOff>
      <xdr:row>2</xdr:row>
      <xdr:rowOff>24922</xdr:rowOff>
    </xdr:from>
    <xdr:to>
      <xdr:col>11</xdr:col>
      <xdr:colOff>273708</xdr:colOff>
      <xdr:row>16</xdr:row>
      <xdr:rowOff>160390</xdr:rowOff>
    </xdr:to>
    <xdr:graphicFrame macro="">
      <xdr:nvGraphicFramePr>
        <xdr:cNvPr id="14" name="Chart 13">
          <a:extLst>
            <a:ext uri="{FF2B5EF4-FFF2-40B4-BE49-F238E27FC236}">
              <a16:creationId xmlns:a16="http://schemas.microsoft.com/office/drawing/2014/main" id="{FFE49BC5-DB3D-46D1-9DAF-C7D37F893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563735</xdr:colOff>
      <xdr:row>2</xdr:row>
      <xdr:rowOff>35774</xdr:rowOff>
    </xdr:from>
    <xdr:to>
      <xdr:col>19</xdr:col>
      <xdr:colOff>545848</xdr:colOff>
      <xdr:row>16</xdr:row>
      <xdr:rowOff>160987</xdr:rowOff>
    </xdr:to>
    <xdr:sp macro="" textlink="">
      <xdr:nvSpPr>
        <xdr:cNvPr id="21" name="Rectangle 20">
          <a:extLst>
            <a:ext uri="{FF2B5EF4-FFF2-40B4-BE49-F238E27FC236}">
              <a16:creationId xmlns:a16="http://schemas.microsoft.com/office/drawing/2014/main" id="{FA78FDCE-3677-119D-F804-C9A82E3B7513}"/>
            </a:ext>
          </a:extLst>
        </xdr:cNvPr>
        <xdr:cNvSpPr/>
      </xdr:nvSpPr>
      <xdr:spPr>
        <a:xfrm>
          <a:off x="7631561" y="403890"/>
          <a:ext cx="4841244" cy="2702025"/>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12</xdr:col>
          <xdr:colOff>385119</xdr:colOff>
          <xdr:row>4</xdr:row>
          <xdr:rowOff>81012</xdr:rowOff>
        </xdr:from>
        <xdr:to>
          <xdr:col>19</xdr:col>
          <xdr:colOff>21838</xdr:colOff>
          <xdr:row>16</xdr:row>
          <xdr:rowOff>23411</xdr:rowOff>
        </xdr:to>
        <xdr:pic>
          <xdr:nvPicPr>
            <xdr:cNvPr id="20" name="Picture 19">
              <a:extLst>
                <a:ext uri="{FF2B5EF4-FFF2-40B4-BE49-F238E27FC236}">
                  <a16:creationId xmlns:a16="http://schemas.microsoft.com/office/drawing/2014/main" id="{A9380D76-1090-D43A-4CCC-D299729CCC54}"/>
                </a:ext>
              </a:extLst>
            </xdr:cNvPr>
            <xdr:cNvPicPr>
              <a:picLocks noChangeAspect="1" noChangeArrowheads="1"/>
              <a:extLst>
                <a:ext uri="{84589F7E-364E-4C9E-8A38-B11213B215E9}">
                  <a14:cameraTool cellRange="'ECommerce Pivot'!$H$26:$L$31" spid="_x0000_s1042"/>
                </a:ext>
              </a:extLst>
            </xdr:cNvPicPr>
          </xdr:nvPicPr>
          <xdr:blipFill>
            <a:blip xmlns:r="http://schemas.openxmlformats.org/officeDocument/2006/relationships" r:embed="rId2"/>
            <a:srcRect/>
            <a:stretch>
              <a:fillRect/>
            </a:stretch>
          </xdr:blipFill>
          <xdr:spPr bwMode="auto">
            <a:xfrm>
              <a:off x="8060336" y="817244"/>
              <a:ext cx="3888459" cy="215109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20</xdr:col>
      <xdr:colOff>347453</xdr:colOff>
      <xdr:row>2</xdr:row>
      <xdr:rowOff>17887</xdr:rowOff>
    </xdr:from>
    <xdr:to>
      <xdr:col>28</xdr:col>
      <xdr:colOff>335471</xdr:colOff>
      <xdr:row>16</xdr:row>
      <xdr:rowOff>130363</xdr:rowOff>
    </xdr:to>
    <xdr:graphicFrame macro="">
      <xdr:nvGraphicFramePr>
        <xdr:cNvPr id="22" name="Chart 21">
          <a:extLst>
            <a:ext uri="{FF2B5EF4-FFF2-40B4-BE49-F238E27FC236}">
              <a16:creationId xmlns:a16="http://schemas.microsoft.com/office/drawing/2014/main" id="{01CA18CD-AAC6-4BDD-B23D-E9B307B5D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272142</xdr:colOff>
      <xdr:row>18</xdr:row>
      <xdr:rowOff>90714</xdr:rowOff>
    </xdr:from>
    <xdr:to>
      <xdr:col>11</xdr:col>
      <xdr:colOff>272143</xdr:colOff>
      <xdr:row>44</xdr:row>
      <xdr:rowOff>151190</xdr:rowOff>
    </xdr:to>
    <xdr:graphicFrame macro="">
      <xdr:nvGraphicFramePr>
        <xdr:cNvPr id="23" name="Chart 22">
          <a:extLst>
            <a:ext uri="{FF2B5EF4-FFF2-40B4-BE49-F238E27FC236}">
              <a16:creationId xmlns:a16="http://schemas.microsoft.com/office/drawing/2014/main" id="{2C2D60CC-F2F8-4AA3-A1AF-75939AE6D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30237</xdr:colOff>
      <xdr:row>33</xdr:row>
      <xdr:rowOff>110872</xdr:rowOff>
    </xdr:from>
    <xdr:to>
      <xdr:col>9</xdr:col>
      <xdr:colOff>20158</xdr:colOff>
      <xdr:row>43</xdr:row>
      <xdr:rowOff>50396</xdr:rowOff>
    </xdr:to>
    <xdr:graphicFrame macro="">
      <xdr:nvGraphicFramePr>
        <xdr:cNvPr id="24" name="Chart 23">
          <a:extLst>
            <a:ext uri="{FF2B5EF4-FFF2-40B4-BE49-F238E27FC236}">
              <a16:creationId xmlns:a16="http://schemas.microsoft.com/office/drawing/2014/main" id="{82CF1E26-C994-494C-B730-D91598B92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541867</xdr:colOff>
      <xdr:row>18</xdr:row>
      <xdr:rowOff>113080</xdr:rowOff>
    </xdr:from>
    <xdr:to>
      <xdr:col>19</xdr:col>
      <xdr:colOff>575734</xdr:colOff>
      <xdr:row>44</xdr:row>
      <xdr:rowOff>160866</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B1336EDC-AD14-441E-96AB-71FEFF6E05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22117" y="3427780"/>
              <a:ext cx="4910667" cy="483568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121781</xdr:colOff>
      <xdr:row>27</xdr:row>
      <xdr:rowOff>173972</xdr:rowOff>
    </xdr:from>
    <xdr:to>
      <xdr:col>19</xdr:col>
      <xdr:colOff>139179</xdr:colOff>
      <xdr:row>34</xdr:row>
      <xdr:rowOff>52192</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A2C9C06E-1F09-4B3B-9ACD-2302CB7E6D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859631" y="5146022"/>
              <a:ext cx="1236598" cy="11672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360468</xdr:colOff>
      <xdr:row>18</xdr:row>
      <xdr:rowOff>95846</xdr:rowOff>
    </xdr:from>
    <xdr:to>
      <xdr:col>27</xdr:col>
      <xdr:colOff>239624</xdr:colOff>
      <xdr:row>32</xdr:row>
      <xdr:rowOff>47924</xdr:rowOff>
    </xdr:to>
    <xdr:graphicFrame macro="">
      <xdr:nvGraphicFramePr>
        <xdr:cNvPr id="27" name="Chart 26">
          <a:extLst>
            <a:ext uri="{FF2B5EF4-FFF2-40B4-BE49-F238E27FC236}">
              <a16:creationId xmlns:a16="http://schemas.microsoft.com/office/drawing/2014/main" id="{CC5B7F24-5BED-4D43-AE62-5497EB200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361293</xdr:colOff>
      <xdr:row>32</xdr:row>
      <xdr:rowOff>107829</xdr:rowOff>
    </xdr:from>
    <xdr:to>
      <xdr:col>27</xdr:col>
      <xdr:colOff>251604</xdr:colOff>
      <xdr:row>45</xdr:row>
      <xdr:rowOff>143773</xdr:rowOff>
    </xdr:to>
    <xdr:graphicFrame macro="">
      <xdr:nvGraphicFramePr>
        <xdr:cNvPr id="30" name="Chart 29">
          <a:extLst>
            <a:ext uri="{FF2B5EF4-FFF2-40B4-BE49-F238E27FC236}">
              <a16:creationId xmlns:a16="http://schemas.microsoft.com/office/drawing/2014/main" id="{0EA04048-3A6C-4EC4-8BC5-E8EF67B04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159887</xdr:colOff>
      <xdr:row>23</xdr:row>
      <xdr:rowOff>24375</xdr:rowOff>
    </xdr:from>
    <xdr:to>
      <xdr:col>2</xdr:col>
      <xdr:colOff>40075</xdr:colOff>
      <xdr:row>32</xdr:row>
      <xdr:rowOff>142328</xdr:rowOff>
    </xdr:to>
    <mc:AlternateContent xmlns:mc="http://schemas.openxmlformats.org/markup-compatibility/2006" xmlns:a14="http://schemas.microsoft.com/office/drawing/2010/main">
      <mc:Choice Requires="a14">
        <xdr:graphicFrame macro="">
          <xdr:nvGraphicFramePr>
            <xdr:cNvPr id="31" name="Order Mode">
              <a:extLst>
                <a:ext uri="{FF2B5EF4-FFF2-40B4-BE49-F238E27FC236}">
                  <a16:creationId xmlns:a16="http://schemas.microsoft.com/office/drawing/2014/main" id="{428A5E73-427F-4CEE-A06D-F4894DDFF6C7}"/>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59887" y="4305151"/>
              <a:ext cx="1730447" cy="1793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179153</xdr:colOff>
      <xdr:row>34</xdr:row>
      <xdr:rowOff>109624</xdr:rowOff>
    </xdr:from>
    <xdr:to>
      <xdr:col>2</xdr:col>
      <xdr:colOff>23399</xdr:colOff>
      <xdr:row>43</xdr:row>
      <xdr:rowOff>10949</xdr:rowOff>
    </xdr:to>
    <mc:AlternateContent xmlns:mc="http://schemas.openxmlformats.org/markup-compatibility/2006" xmlns:a14="http://schemas.microsoft.com/office/drawing/2010/main">
      <mc:Choice Requires="a14">
        <xdr:graphicFrame macro="">
          <xdr:nvGraphicFramePr>
            <xdr:cNvPr id="32" name="Gender Value">
              <a:extLst>
                <a:ext uri="{FF2B5EF4-FFF2-40B4-BE49-F238E27FC236}">
                  <a16:creationId xmlns:a16="http://schemas.microsoft.com/office/drawing/2014/main" id="{DC619EA3-7FE5-4BEF-81D4-842FFA1328FE}"/>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79153" y="6437727"/>
              <a:ext cx="1694505" cy="15764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266884</xdr:colOff>
      <xdr:row>2</xdr:row>
      <xdr:rowOff>92029</xdr:rowOff>
    </xdr:from>
    <xdr:ext cx="1659172" cy="311496"/>
    <xdr:sp macro="" textlink="">
      <xdr:nvSpPr>
        <xdr:cNvPr id="34" name="TextBox 33">
          <a:extLst>
            <a:ext uri="{FF2B5EF4-FFF2-40B4-BE49-F238E27FC236}">
              <a16:creationId xmlns:a16="http://schemas.microsoft.com/office/drawing/2014/main" id="{EC2B4343-6B4F-BDEA-3A34-FC91310F68B0}"/>
            </a:ext>
          </a:extLst>
        </xdr:cNvPr>
        <xdr:cNvSpPr txBox="1"/>
      </xdr:nvSpPr>
      <xdr:spPr>
        <a:xfrm>
          <a:off x="9156884" y="460145"/>
          <a:ext cx="16591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latin typeface="Aptos Narrow "/>
            </a:rPr>
            <a:t>How they like to buy</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3.654303356481" createdVersion="8" refreshedVersion="8" minRefreshableVersion="3" recordCount="2400" xr:uid="{A52CE793-A240-4789-90D0-8E419CABC4AB}">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7"/>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697957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s v=""/>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s v=""/>
    <x v="1"/>
    <x v="2"/>
    <x v="0"/>
    <x v="11"/>
    <x v="1"/>
    <x v="0"/>
    <x v="0"/>
  </r>
  <r>
    <s v="TX500029"/>
    <x v="6"/>
    <x v="9"/>
    <n v="50.9"/>
    <n v="254.5"/>
    <x v="0"/>
    <d v="2025-01-07T00:00:00"/>
    <s v=""/>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s v=""/>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s v=""/>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s v=""/>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s v=""/>
    <x v="0"/>
    <x v="0"/>
    <x v="0"/>
    <x v="3"/>
    <x v="7"/>
    <x v="1"/>
    <x v="0"/>
  </r>
  <r>
    <s v="TX500143"/>
    <x v="8"/>
    <x v="8"/>
    <n v="26.3"/>
    <n v="210.4"/>
    <x v="5"/>
    <d v="2025-01-09T00:00:00"/>
    <s v="F"/>
    <x v="4"/>
    <x v="4"/>
    <x v="0"/>
    <x v="3"/>
    <x v="2"/>
    <x v="1"/>
    <x v="2"/>
  </r>
  <r>
    <s v="TX500144"/>
    <x v="4"/>
    <x v="1"/>
    <n v="47.8"/>
    <n v="95.6"/>
    <x v="5"/>
    <d v="2025-01-07T00:00:00"/>
    <s v=""/>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s v=""/>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s v=""/>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s v=""/>
    <x v="0"/>
    <x v="2"/>
    <x v="0"/>
    <x v="10"/>
    <x v="5"/>
    <x v="1"/>
    <x v="0"/>
  </r>
  <r>
    <s v="TX500192"/>
    <x v="10"/>
    <x v="9"/>
    <n v="34.5"/>
    <n v="172.5"/>
    <x v="7"/>
    <d v="2025-01-10T00:00:00"/>
    <s v=""/>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s v=""/>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s v=""/>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s v=""/>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s v=""/>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s v=""/>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s v=""/>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s v=""/>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s v=""/>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s v=""/>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s v=""/>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s v=""/>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s v=""/>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s v=""/>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s v=""/>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s v=""/>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s v=""/>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s v=""/>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s v=""/>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s v=""/>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s v=""/>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s v=""/>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s v=""/>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s v=""/>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s v=""/>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s v=""/>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s v=""/>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s v=""/>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s v=""/>
    <x v="0"/>
    <x v="1"/>
    <x v="0"/>
    <x v="6"/>
    <x v="2"/>
    <x v="4"/>
    <x v="0"/>
  </r>
  <r>
    <s v="TX500737"/>
    <x v="10"/>
    <x v="1"/>
    <n v="52.4"/>
    <n v="104.8"/>
    <x v="31"/>
    <d v="2025-02-01T00:00:00"/>
    <s v="F"/>
    <x v="0"/>
    <x v="3"/>
    <x v="0"/>
    <x v="6"/>
    <x v="7"/>
    <x v="4"/>
    <x v="2"/>
  </r>
  <r>
    <s v="TX500738"/>
    <x v="8"/>
    <x v="21"/>
    <n v="16.2"/>
    <n v="226.79999999999998"/>
    <x v="31"/>
    <d v="2025-02-02T00:00:00"/>
    <s v=""/>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s v=""/>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s v=""/>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s v=""/>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s v=""/>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s v=""/>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s v=""/>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s v=""/>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s v=""/>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s v=""/>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s v=""/>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s v=""/>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s v=""/>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s v=""/>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s v=""/>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s v=""/>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s v=""/>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s v=""/>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s v=""/>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s v=""/>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s v=""/>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s v=""/>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s v=""/>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s v=""/>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s v=""/>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s v=""/>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s v=""/>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s v=""/>
    <x v="3"/>
    <x v="1"/>
    <x v="0"/>
    <x v="19"/>
    <x v="1"/>
    <x v="6"/>
    <x v="0"/>
  </r>
  <r>
    <s v="TX501161"/>
    <x v="9"/>
    <x v="1"/>
    <n v="66.599999999999994"/>
    <n v="133.19999999999999"/>
    <x v="45"/>
    <d v="2025-02-18T00:00:00"/>
    <s v=""/>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s v=""/>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s v=""/>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s v=""/>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s v=""/>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s v=""/>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s v=""/>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s v=""/>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s v=""/>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s v=""/>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s v=""/>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s v=""/>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s v=""/>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s v=""/>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s v=""/>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s v=""/>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s v=""/>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s v=""/>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s v=""/>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s v=""/>
    <x v="1"/>
    <x v="3"/>
    <x v="0"/>
    <x v="23"/>
    <x v="0"/>
    <x v="8"/>
    <x v="0"/>
  </r>
  <r>
    <s v="TX501465"/>
    <x v="5"/>
    <x v="2"/>
    <n v="56.4"/>
    <n v="169.2"/>
    <x v="54"/>
    <d v="2025-02-25T00:00:00"/>
    <s v=""/>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s v=""/>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s v=""/>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s v=""/>
    <x v="3"/>
    <x v="0"/>
    <x v="0"/>
    <x v="17"/>
    <x v="7"/>
    <x v="8"/>
    <x v="0"/>
  </r>
  <r>
    <s v="TX501525"/>
    <x v="2"/>
    <x v="42"/>
    <n v="118.2"/>
    <n v="7446.6"/>
    <x v="56"/>
    <d v="2025-03-03T00:00:00"/>
    <s v=""/>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s v=""/>
    <x v="2"/>
    <x v="2"/>
    <x v="0"/>
    <x v="9"/>
    <x v="1"/>
    <x v="8"/>
    <x v="0"/>
  </r>
  <r>
    <s v="TX501530"/>
    <x v="4"/>
    <x v="7"/>
    <n v="23.5"/>
    <n v="235"/>
    <x v="56"/>
    <d v="2025-03-01T00:00:00"/>
    <s v="M"/>
    <x v="0"/>
    <x v="4"/>
    <x v="0"/>
    <x v="10"/>
    <x v="2"/>
    <x v="8"/>
    <x v="1"/>
  </r>
  <r>
    <s v="TX501531"/>
    <x v="5"/>
    <x v="1"/>
    <n v="32.1"/>
    <n v="64.2"/>
    <x v="56"/>
    <d v="2025-02-28T00:00:00"/>
    <s v=""/>
    <x v="3"/>
    <x v="0"/>
    <x v="0"/>
    <x v="10"/>
    <x v="1"/>
    <x v="8"/>
    <x v="0"/>
  </r>
  <r>
    <s v="TX501532"/>
    <x v="17"/>
    <x v="12"/>
    <n v="71.900000000000006"/>
    <n v="287.60000000000002"/>
    <x v="56"/>
    <d v="2025-02-26T00:00:00"/>
    <s v="M"/>
    <x v="2"/>
    <x v="0"/>
    <x v="0"/>
    <x v="19"/>
    <x v="7"/>
    <x v="8"/>
    <x v="1"/>
  </r>
  <r>
    <s v="TX501533"/>
    <x v="4"/>
    <x v="13"/>
    <n v="22.3"/>
    <n v="133.80000000000001"/>
    <x v="56"/>
    <d v="2025-02-27T00:00:00"/>
    <s v=""/>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s v=""/>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s v=""/>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s v=""/>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s v=""/>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s v=""/>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s v=""/>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s v=""/>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s v=""/>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s v=""/>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s v=""/>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s v=""/>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s v=""/>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s v=""/>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s v=""/>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s v=""/>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s v=""/>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s v=""/>
    <x v="0"/>
    <x v="0"/>
    <x v="0"/>
    <x v="6"/>
    <x v="1"/>
    <x v="10"/>
    <x v="0"/>
  </r>
  <r>
    <s v="TX501989"/>
    <x v="1"/>
    <x v="1"/>
    <n v="58.7"/>
    <n v="117.4"/>
    <x v="73"/>
    <d v="2025-03-18T00:00:00"/>
    <s v="F"/>
    <x v="0"/>
    <x v="1"/>
    <x v="0"/>
    <x v="6"/>
    <x v="2"/>
    <x v="10"/>
    <x v="2"/>
  </r>
  <r>
    <s v="TX501990"/>
    <x v="6"/>
    <x v="9"/>
    <n v="71.900000000000006"/>
    <n v="359.5"/>
    <x v="73"/>
    <d v="2025-03-16T00:00:00"/>
    <s v=""/>
    <x v="0"/>
    <x v="1"/>
    <x v="0"/>
    <x v="6"/>
    <x v="3"/>
    <x v="10"/>
    <x v="0"/>
  </r>
  <r>
    <s v="TX501991"/>
    <x v="1"/>
    <x v="1"/>
    <n v="62.4"/>
    <n v="124.8"/>
    <x v="73"/>
    <d v="2025-03-17T00:00:00"/>
    <s v=""/>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s v=""/>
    <x v="3"/>
    <x v="1"/>
    <x v="0"/>
    <x v="21"/>
    <x v="3"/>
    <x v="10"/>
    <x v="0"/>
  </r>
  <r>
    <s v="TX502005"/>
    <x v="6"/>
    <x v="12"/>
    <n v="41.3"/>
    <n v="165.2"/>
    <x v="73"/>
    <d v="2025-03-17T00:00:00"/>
    <s v="F"/>
    <x v="3"/>
    <x v="2"/>
    <x v="0"/>
    <x v="1"/>
    <x v="1"/>
    <x v="10"/>
    <x v="2"/>
  </r>
  <r>
    <s v="TX502006"/>
    <x v="8"/>
    <x v="1"/>
    <n v="15.3"/>
    <n v="30.6"/>
    <x v="73"/>
    <d v="2025-03-18T00:00:00"/>
    <s v=""/>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s v=""/>
    <x v="2"/>
    <x v="0"/>
    <x v="0"/>
    <x v="3"/>
    <x v="3"/>
    <x v="10"/>
    <x v="0"/>
  </r>
  <r>
    <s v="TX502015"/>
    <x v="15"/>
    <x v="1"/>
    <n v="33.6"/>
    <n v="67.2"/>
    <x v="73"/>
    <d v="2025-03-16T00:00:00"/>
    <s v="M"/>
    <x v="0"/>
    <x v="2"/>
    <x v="0"/>
    <x v="3"/>
    <x v="3"/>
    <x v="10"/>
    <x v="1"/>
  </r>
  <r>
    <s v="TX502016"/>
    <x v="6"/>
    <x v="2"/>
    <n v="100.7"/>
    <n v="302.10000000000002"/>
    <x v="73"/>
    <d v="2025-03-16T00:00:00"/>
    <s v=""/>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s v=""/>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s v=""/>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s v=""/>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s v=""/>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s v=""/>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s v=""/>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s v=""/>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s v=""/>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s v=""/>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s v=""/>
    <x v="0"/>
    <x v="0"/>
    <x v="0"/>
    <x v="3"/>
    <x v="1"/>
    <x v="12"/>
    <x v="0"/>
  </r>
  <r>
    <s v="TX502319"/>
    <x v="8"/>
    <x v="1"/>
    <n v="26"/>
    <n v="52"/>
    <x v="85"/>
    <d v="2025-03-27T00:00:00"/>
    <s v=""/>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s v=""/>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s v=""/>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s v=""/>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s v=""/>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s v=""/>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1D54B8-0A41-4D2F-A9BD-01BF21266744}" name="PvtCount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71:D129"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1BC7F-6EF2-4FA0-B346-2698C772548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11">
  <location ref="H46:I50"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4"/>
  </rowFields>
  <rowItems count="4">
    <i>
      <x/>
    </i>
    <i>
      <x v="1"/>
    </i>
    <i>
      <x v="2"/>
    </i>
    <i>
      <x v="3"/>
    </i>
  </rowItems>
  <colItems count="1">
    <i/>
  </colItems>
  <dataFields count="1">
    <dataField name="Sum of Quantity" fld="2" baseField="0" baseItem="0"/>
  </dataFields>
  <chartFormats count="13">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4" count="1" selected="0">
            <x v="0"/>
          </reference>
        </references>
      </pivotArea>
    </chartFormat>
    <chartFormat chart="9" format="8">
      <pivotArea type="data" outline="0" fieldPosition="0">
        <references count="2">
          <reference field="4294967294" count="1" selected="0">
            <x v="0"/>
          </reference>
          <reference field="14" count="1" selected="0">
            <x v="1"/>
          </reference>
        </references>
      </pivotArea>
    </chartFormat>
    <chartFormat chart="9" format="9">
      <pivotArea type="data" outline="0" fieldPosition="0">
        <references count="2">
          <reference field="4294967294" count="1" selected="0">
            <x v="0"/>
          </reference>
          <reference field="14" count="1" selected="0">
            <x v="2"/>
          </reference>
        </references>
      </pivotArea>
    </chartFormat>
    <chartFormat chart="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3BF2BE-3F17-432D-B2F0-3AB506C0EED1}" name="PivotAp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F32"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0DC49F-A87F-4241-9540-AF69D7ED6682}" name="Pvt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33:B14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BCC45-CD9C-42DA-BF00-CDEF13244440}" name="PvtProduct"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46:E67"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showAll="0" defaultSubtotal="0">
      <items count="7">
        <item x="0"/>
        <item x="1"/>
        <item x="2"/>
        <item x="3"/>
        <item x="4"/>
        <item x="5"/>
        <item x="6"/>
      </items>
    </pivotField>
  </pivotFields>
  <rowFields count="1">
    <field x="1"/>
  </rowFields>
  <rowItems count="20">
    <i>
      <x v="18"/>
    </i>
    <i>
      <x v="6"/>
    </i>
    <i>
      <x v="13"/>
    </i>
    <i>
      <x v="16"/>
    </i>
    <i>
      <x v="1"/>
    </i>
    <i>
      <x v="12"/>
    </i>
    <i>
      <x v="14"/>
    </i>
    <i>
      <x v="4"/>
    </i>
    <i>
      <x v="5"/>
    </i>
    <i>
      <x v="11"/>
    </i>
    <i>
      <x v="3"/>
    </i>
    <i>
      <x v="8"/>
    </i>
    <i>
      <x v="2"/>
    </i>
    <i>
      <x v="19"/>
    </i>
    <i>
      <x v="10"/>
    </i>
    <i>
      <x v="9"/>
    </i>
    <i>
      <x v="15"/>
    </i>
    <i>
      <x v="17"/>
    </i>
    <i>
      <x/>
    </i>
    <i>
      <x v="7"/>
    </i>
  </rowItems>
  <colFields count="1">
    <field x="14"/>
  </colFields>
  <colItems count="4">
    <i>
      <x/>
    </i>
    <i>
      <x v="1"/>
    </i>
    <i>
      <x v="2"/>
    </i>
    <i>
      <x v="3"/>
    </i>
  </colItems>
  <dataFields count="1">
    <dataField name="Sum of Quantity" fld="2" baseField="0" baseItem="0"/>
  </dataFields>
  <chartFormats count="4">
    <chartFormat chart="3" format="8" series="1">
      <pivotArea type="data" outline="0" fieldPosition="0">
        <references count="2">
          <reference field="4294967294" count="1" selected="0">
            <x v="0"/>
          </reference>
          <reference field="14" count="1" selected="0">
            <x v="0"/>
          </reference>
        </references>
      </pivotArea>
    </chartFormat>
    <chartFormat chart="3" format="9" series="1">
      <pivotArea type="data" outline="0" fieldPosition="0">
        <references count="2">
          <reference field="4294967294" count="1" selected="0">
            <x v="0"/>
          </reference>
          <reference field="14" count="1" selected="0">
            <x v="1"/>
          </reference>
        </references>
      </pivotArea>
    </chartFormat>
    <chartFormat chart="3" format="10" series="1">
      <pivotArea type="data" outline="0" fieldPosition="0">
        <references count="2">
          <reference field="4294967294" count="1" selected="0">
            <x v="0"/>
          </reference>
          <reference field="14" count="1" selected="0">
            <x v="2"/>
          </reference>
        </references>
      </pivotArea>
    </chartFormat>
    <chartFormat chart="3"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93CA5B-6DA8-49FF-A41D-19EE1EC26704}" name="PvtSummary"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D9BA9C-9830-4681-8A25-132B5E91CAB9}" name="Pvt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5:B43"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showAll="0" defaultSubtotal="0"/>
    <pivotField showAll="0" defaultSubtotal="0">
      <items count="14">
        <item x="0"/>
        <item x="1"/>
        <item x="2"/>
        <item x="3"/>
        <item x="4"/>
        <item x="5"/>
        <item x="6"/>
        <item x="7"/>
        <item x="8"/>
        <item x="9"/>
        <item x="10"/>
        <item x="11"/>
        <item x="12"/>
        <item x="13"/>
      </items>
    </pivotField>
    <pivotField axis="axisRow" showAll="0">
      <items count="8">
        <item x="0"/>
        <item x="1"/>
        <item x="2"/>
        <item x="4"/>
        <item x="3"/>
        <item n="6 to 10" x="5"/>
        <item n="More than 10" x="6"/>
        <item t="default"/>
      </items>
    </pivotField>
  </pivotFields>
  <rowFields count="1">
    <field x="17"/>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24B570-DB1A-45E4-9C4A-E7A1E85B53D9}" name="PvtCustomer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53:G15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7">
        <item x="0"/>
        <item x="1"/>
        <item x="2"/>
        <item x="3"/>
        <item x="4"/>
        <item x="5"/>
        <item x="6"/>
      </items>
    </pivotField>
  </pivotFields>
  <rowFields count="1">
    <field x="16"/>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3" format="13" series="1">
      <pivotArea type="data" outline="0" fieldPosition="0">
        <references count="2">
          <reference field="4294967294" count="1" selected="0">
            <x v="0"/>
          </reference>
          <reference field="9" count="1" selected="0">
            <x v="0"/>
          </reference>
        </references>
      </pivotArea>
    </chartFormat>
    <chartFormat chart="3" format="14" series="1">
      <pivotArea type="data" outline="0" fieldPosition="0">
        <references count="2">
          <reference field="4294967294" count="1" selected="0">
            <x v="0"/>
          </reference>
          <reference field="9" count="1" selected="0">
            <x v="1"/>
          </reference>
        </references>
      </pivotArea>
    </chartFormat>
    <chartFormat chart="3" format="15" series="1">
      <pivotArea type="data" outline="0" fieldPosition="0">
        <references count="2">
          <reference field="4294967294" count="1" selected="0">
            <x v="0"/>
          </reference>
          <reference field="9" count="1" selected="0">
            <x v="2"/>
          </reference>
        </references>
      </pivotArea>
    </chartFormat>
    <chartFormat chart="3" format="16" series="1">
      <pivotArea type="data" outline="0" fieldPosition="0">
        <references count="2">
          <reference field="4294967294" count="1" selected="0">
            <x v="0"/>
          </reference>
          <reference field="9" count="1" selected="0">
            <x v="3"/>
          </reference>
        </references>
      </pivotArea>
    </chartFormat>
    <chartFormat chart="3"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381244-6E6B-4230-B40B-EFCB62747D2F}" name="PvtTren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8:C22"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1BBF1BB-09CD-4DF6-8393-6B46E9EB7AD2}" sourceName="Order Mode">
  <pivotTables>
    <pivotTable tabId="3" name="PvtCustomer Satisfaction"/>
    <pivotTable tabId="3" name="PivotApp"/>
    <pivotTable tabId="3" name="PivotTable6"/>
    <pivotTable tabId="3" name="Pvt Customer"/>
    <pivotTable tabId="3" name="PvtCountry"/>
    <pivotTable tabId="3" name="PvtProduct"/>
    <pivotTable tabId="3" name="PvtQuantity"/>
    <pivotTable tabId="3" name="PvtSummary"/>
    <pivotTable tabId="3" name="PvtTrend"/>
  </pivotTables>
  <data>
    <tabular pivotCacheId="697957937">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AAA5CC23-1ABB-4560-A269-0642719273D5}" sourceName="Gender Value">
  <pivotTables>
    <pivotTable tabId="3" name="PvtCustomer Satisfaction"/>
    <pivotTable tabId="3" name="PivotApp"/>
    <pivotTable tabId="3" name="PivotTable6"/>
    <pivotTable tabId="3" name="Pvt Customer"/>
    <pivotTable tabId="3" name="PvtCountry"/>
    <pivotTable tabId="3" name="PvtProduct"/>
    <pivotTable tabId="3" name="PvtQuantity"/>
    <pivotTable tabId="3" name="PvtSummary"/>
    <pivotTable tabId="3" name="PvtTrend"/>
  </pivotTables>
  <data>
    <tabular pivotCacheId="697957937">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35A1D1BB-6A65-4076-87B1-6541DFEA5024}" cache="Slicer_Order_Mode" caption="Order Mode" rowHeight="251883"/>
  <slicer name="Gender Value" xr10:uid="{74B85EEC-6688-481F-A773-9FFA2D96673E}" cache="Slicer_Gender_Value" caption="Gender Valu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sheetPr>
    <pageSetUpPr fitToPage="1"/>
  </sheetPr>
  <dimension ref="A1:O2401"/>
  <sheetViews>
    <sheetView topLeftCell="A2380" zoomScale="82" workbookViewId="0">
      <selection activeCell="O2402" sqref="A1:O2402"/>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0</v>
      </c>
      <c r="B1" t="s">
        <v>1</v>
      </c>
      <c r="C1" t="s">
        <v>2</v>
      </c>
      <c r="D1" t="s">
        <v>3</v>
      </c>
      <c r="E1" t="s">
        <v>4</v>
      </c>
      <c r="F1" t="s">
        <v>5</v>
      </c>
      <c r="G1" t="s">
        <v>6</v>
      </c>
      <c r="H1" t="s">
        <v>7</v>
      </c>
      <c r="I1" t="s">
        <v>8</v>
      </c>
      <c r="J1" t="s">
        <v>9</v>
      </c>
      <c r="K1" t="s">
        <v>10</v>
      </c>
      <c r="L1" t="s">
        <v>11</v>
      </c>
      <c r="M1" s="2" t="s">
        <v>12</v>
      </c>
      <c r="N1" s="2" t="s">
        <v>13</v>
      </c>
      <c r="O1" s="2" t="s">
        <v>14</v>
      </c>
    </row>
    <row r="2" spans="1:15" x14ac:dyDescent="0.3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pageSetup paperSize="9" scale="1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sheetPr>
    <pageSetUpPr fitToPage="1"/>
  </sheetPr>
  <dimension ref="B2:B18"/>
  <sheetViews>
    <sheetView workbookViewId="0">
      <selection activeCell="B1" sqref="B1:B18"/>
    </sheetView>
  </sheetViews>
  <sheetFormatPr defaultRowHeight="14.5" x14ac:dyDescent="0.35"/>
  <cols>
    <col min="1" max="1" width="3.6328125" customWidth="1"/>
    <col min="2" max="2" width="52.81640625" customWidth="1"/>
  </cols>
  <sheetData>
    <row r="2" spans="2:2" x14ac:dyDescent="0.35">
      <c r="B2" s="3" t="s">
        <v>2503</v>
      </c>
    </row>
    <row r="3" spans="2:2" x14ac:dyDescent="0.35">
      <c r="B3" s="4" t="s">
        <v>2504</v>
      </c>
    </row>
    <row r="4" spans="2:2" x14ac:dyDescent="0.35">
      <c r="B4" s="4" t="s">
        <v>2505</v>
      </c>
    </row>
    <row r="5" spans="2:2" x14ac:dyDescent="0.35">
      <c r="B5" s="4" t="s">
        <v>2506</v>
      </c>
    </row>
    <row r="6" spans="2:2" x14ac:dyDescent="0.35">
      <c r="B6" s="4" t="s">
        <v>2507</v>
      </c>
    </row>
    <row r="7" spans="2:2" x14ac:dyDescent="0.35">
      <c r="B7" s="4" t="s">
        <v>2508</v>
      </c>
    </row>
    <row r="10" spans="2:2" x14ac:dyDescent="0.35">
      <c r="B10" s="3" t="s">
        <v>2509</v>
      </c>
    </row>
    <row r="11" spans="2:2" x14ac:dyDescent="0.35">
      <c r="B11" t="s">
        <v>2510</v>
      </c>
    </row>
    <row r="12" spans="2:2" x14ac:dyDescent="0.35">
      <c r="B12" t="s">
        <v>2511</v>
      </c>
    </row>
    <row r="13" spans="2:2" x14ac:dyDescent="0.35">
      <c r="B13" t="s">
        <v>2512</v>
      </c>
    </row>
    <row r="14" spans="2:2" x14ac:dyDescent="0.35">
      <c r="B14" t="s">
        <v>2513</v>
      </c>
    </row>
    <row r="15" spans="2:2" x14ac:dyDescent="0.35">
      <c r="B15" t="s">
        <v>2514</v>
      </c>
    </row>
    <row r="16" spans="2:2" x14ac:dyDescent="0.35">
      <c r="B16" t="s">
        <v>2515</v>
      </c>
    </row>
    <row r="17" spans="2:2" x14ac:dyDescent="0.35">
      <c r="B17" t="s">
        <v>2516</v>
      </c>
    </row>
    <row r="18" spans="2:2" x14ac:dyDescent="0.35">
      <c r="B18" t="s">
        <v>2517</v>
      </c>
    </row>
  </sheetData>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2134C-E49E-4651-84B4-8F8DC730DD60}">
  <dimension ref="A2:N160"/>
  <sheetViews>
    <sheetView tabSelected="1" zoomScale="45" workbookViewId="0">
      <selection activeCell="I48" sqref="I48"/>
    </sheetView>
  </sheetViews>
  <sheetFormatPr defaultRowHeight="14.5" x14ac:dyDescent="0.35"/>
  <cols>
    <col min="1" max="1" width="13.54296875" bestFit="1" customWidth="1"/>
    <col min="2" max="2" width="12.7265625" bestFit="1" customWidth="1"/>
    <col min="3" max="3" width="9.08984375" customWidth="1"/>
    <col min="4" max="4" width="8.81640625" customWidth="1"/>
    <col min="5" max="5" width="8.90625" bestFit="1" customWidth="1"/>
    <col min="6" max="7" width="10.6328125" bestFit="1" customWidth="1"/>
    <col min="8" max="8" width="8.81640625" bestFit="1" customWidth="1"/>
    <col min="9" max="9" width="14.26953125" style="12" bestFit="1" customWidth="1"/>
    <col min="10" max="10" width="7.81640625" style="12" bestFit="1" customWidth="1"/>
    <col min="11" max="12" width="8.81640625" style="12" bestFit="1" customWidth="1"/>
    <col min="13" max="13" width="8.81640625" bestFit="1" customWidth="1"/>
    <col min="14" max="14" width="8.90625" bestFit="1" customWidth="1"/>
    <col min="15" max="32" width="8.81640625" bestFit="1" customWidth="1"/>
    <col min="33" max="41" width="8.1796875" bestFit="1" customWidth="1"/>
    <col min="42" max="60" width="9.1796875" bestFit="1" customWidth="1"/>
    <col min="61" max="69" width="8.1796875" bestFit="1" customWidth="1"/>
    <col min="70" max="89" width="9.1796875" bestFit="1" customWidth="1"/>
    <col min="90" max="90" width="10.36328125" bestFit="1" customWidth="1"/>
  </cols>
  <sheetData>
    <row r="2" spans="1:11" x14ac:dyDescent="0.35">
      <c r="G2" t="s">
        <v>2523</v>
      </c>
    </row>
    <row r="3" spans="1:11" x14ac:dyDescent="0.35">
      <c r="A3" t="s">
        <v>2518</v>
      </c>
      <c r="B3" t="s">
        <v>2519</v>
      </c>
      <c r="C3" t="s">
        <v>2520</v>
      </c>
      <c r="D3" t="s">
        <v>2521</v>
      </c>
      <c r="E3" t="s">
        <v>2522</v>
      </c>
      <c r="G3" t="s">
        <v>2524</v>
      </c>
      <c r="H3" t="s">
        <v>2525</v>
      </c>
      <c r="I3" s="12" t="s">
        <v>2526</v>
      </c>
      <c r="J3" s="12" t="s">
        <v>2527</v>
      </c>
      <c r="K3" s="12" t="s">
        <v>2528</v>
      </c>
    </row>
    <row r="4" spans="1:11" x14ac:dyDescent="0.35">
      <c r="A4">
        <v>2400</v>
      </c>
      <c r="B4">
        <v>11997</v>
      </c>
      <c r="C4">
        <v>649019.80000000144</v>
      </c>
      <c r="D4">
        <v>3.9620833333333332</v>
      </c>
      <c r="E4">
        <v>2.3424999999999998</v>
      </c>
      <c r="G4" s="5">
        <f>A4</f>
        <v>2400</v>
      </c>
      <c r="H4" s="5">
        <f t="shared" ref="H4:K4" si="0">B4</f>
        <v>11997</v>
      </c>
      <c r="I4" s="13">
        <f t="shared" si="0"/>
        <v>649019.80000000144</v>
      </c>
      <c r="J4" s="14">
        <f t="shared" si="0"/>
        <v>3.9620833333333332</v>
      </c>
      <c r="K4" s="14">
        <f t="shared" si="0"/>
        <v>2.3424999999999998</v>
      </c>
    </row>
    <row r="8" spans="1:11" x14ac:dyDescent="0.35">
      <c r="A8" s="7" t="s">
        <v>2529</v>
      </c>
      <c r="B8" t="s">
        <v>2519</v>
      </c>
      <c r="C8" t="s">
        <v>2520</v>
      </c>
    </row>
    <row r="9" spans="1:11" x14ac:dyDescent="0.35">
      <c r="A9" s="8">
        <v>1</v>
      </c>
      <c r="B9">
        <v>546</v>
      </c>
      <c r="C9" s="6">
        <v>32413.300000000003</v>
      </c>
    </row>
    <row r="10" spans="1:11" x14ac:dyDescent="0.35">
      <c r="A10" s="8">
        <v>2</v>
      </c>
      <c r="B10">
        <v>905</v>
      </c>
      <c r="C10" s="6">
        <v>49562.999999999993</v>
      </c>
    </row>
    <row r="11" spans="1:11" x14ac:dyDescent="0.35">
      <c r="A11" s="8">
        <v>3</v>
      </c>
      <c r="B11">
        <v>796</v>
      </c>
      <c r="C11" s="6">
        <v>41700.400000000016</v>
      </c>
    </row>
    <row r="12" spans="1:11" x14ac:dyDescent="0.35">
      <c r="A12" s="8">
        <v>4</v>
      </c>
      <c r="B12">
        <v>913</v>
      </c>
      <c r="C12" s="6">
        <v>46782.599999999984</v>
      </c>
    </row>
    <row r="13" spans="1:11" x14ac:dyDescent="0.35">
      <c r="A13" s="8">
        <v>5</v>
      </c>
      <c r="B13">
        <v>844</v>
      </c>
      <c r="C13" s="6">
        <v>42676.100000000006</v>
      </c>
    </row>
    <row r="14" spans="1:11" x14ac:dyDescent="0.35">
      <c r="A14" s="8">
        <v>6</v>
      </c>
      <c r="B14">
        <v>1202</v>
      </c>
      <c r="C14" s="6">
        <v>62910.7</v>
      </c>
    </row>
    <row r="15" spans="1:11" x14ac:dyDescent="0.35">
      <c r="A15" s="8">
        <v>7</v>
      </c>
      <c r="B15">
        <v>935</v>
      </c>
      <c r="C15" s="6">
        <v>50332.200000000004</v>
      </c>
    </row>
    <row r="16" spans="1:11" x14ac:dyDescent="0.35">
      <c r="A16" s="8">
        <v>8</v>
      </c>
      <c r="B16">
        <v>1128</v>
      </c>
      <c r="C16" s="6">
        <v>58760.599999999977</v>
      </c>
    </row>
    <row r="17" spans="1:12" x14ac:dyDescent="0.35">
      <c r="A17" s="8">
        <v>9</v>
      </c>
      <c r="B17">
        <v>1007</v>
      </c>
      <c r="C17" s="6">
        <v>52017.299999999996</v>
      </c>
    </row>
    <row r="18" spans="1:12" x14ac:dyDescent="0.35">
      <c r="A18" s="8">
        <v>10</v>
      </c>
      <c r="B18">
        <v>1128</v>
      </c>
      <c r="C18" s="6">
        <v>64915.700000000033</v>
      </c>
    </row>
    <row r="19" spans="1:12" x14ac:dyDescent="0.35">
      <c r="A19" s="8">
        <v>11</v>
      </c>
      <c r="B19">
        <v>861</v>
      </c>
      <c r="C19" s="6">
        <v>45943.80000000001</v>
      </c>
    </row>
    <row r="20" spans="1:12" x14ac:dyDescent="0.35">
      <c r="A20" s="8">
        <v>12</v>
      </c>
      <c r="B20">
        <v>944</v>
      </c>
      <c r="C20" s="6">
        <v>55077.900000000031</v>
      </c>
    </row>
    <row r="21" spans="1:12" x14ac:dyDescent="0.35">
      <c r="A21" s="8">
        <v>13</v>
      </c>
      <c r="B21">
        <v>788</v>
      </c>
      <c r="C21" s="6">
        <v>45926.19999999999</v>
      </c>
    </row>
    <row r="22" spans="1:12" x14ac:dyDescent="0.35">
      <c r="A22" s="8" t="s">
        <v>2530</v>
      </c>
      <c r="B22">
        <v>11997</v>
      </c>
      <c r="C22" s="6">
        <v>649019.79999999993</v>
      </c>
    </row>
    <row r="25" spans="1:12" x14ac:dyDescent="0.35">
      <c r="A25" s="7" t="s">
        <v>2520</v>
      </c>
      <c r="B25" s="7" t="s">
        <v>2534</v>
      </c>
    </row>
    <row r="26" spans="1:12" x14ac:dyDescent="0.35">
      <c r="A26" s="7" t="s">
        <v>2529</v>
      </c>
      <c r="B26" t="s">
        <v>2535</v>
      </c>
      <c r="C26" t="s">
        <v>2536</v>
      </c>
      <c r="D26" t="s">
        <v>2537</v>
      </c>
      <c r="E26" t="s">
        <v>2538</v>
      </c>
      <c r="F26" t="s">
        <v>2530</v>
      </c>
      <c r="H26" s="15"/>
      <c r="I26" s="16" t="s">
        <v>2535</v>
      </c>
      <c r="J26" s="16" t="s">
        <v>2536</v>
      </c>
      <c r="K26" s="16" t="s">
        <v>2537</v>
      </c>
      <c r="L26" s="17" t="s">
        <v>2538</v>
      </c>
    </row>
    <row r="27" spans="1:12" ht="18.5" customHeight="1" x14ac:dyDescent="0.35">
      <c r="A27" s="8" t="s">
        <v>18</v>
      </c>
      <c r="B27" s="11">
        <v>0.18961825201634841</v>
      </c>
      <c r="C27" s="11">
        <v>0.12262322351336576</v>
      </c>
      <c r="D27" s="11">
        <v>1.060537752469185E-2</v>
      </c>
      <c r="E27" s="11">
        <v>3.0599220547662797E-2</v>
      </c>
      <c r="F27" s="11">
        <v>0.35344607360206881</v>
      </c>
      <c r="H27" s="18" t="str">
        <f t="shared" ref="H27:L31" si="1">A27</f>
        <v>App</v>
      </c>
      <c r="I27" s="19">
        <f t="shared" si="1"/>
        <v>0.18961825201634841</v>
      </c>
      <c r="J27" s="19">
        <f t="shared" si="1"/>
        <v>0.12262322351336576</v>
      </c>
      <c r="K27" s="19">
        <f t="shared" si="1"/>
        <v>1.060537752469185E-2</v>
      </c>
      <c r="L27" s="20">
        <f t="shared" si="1"/>
        <v>3.0599220547662797E-2</v>
      </c>
    </row>
    <row r="28" spans="1:12" ht="18.5" customHeight="1" x14ac:dyDescent="0.35">
      <c r="A28" s="8" t="s">
        <v>51</v>
      </c>
      <c r="B28" s="11">
        <v>5.0283982091147303E-2</v>
      </c>
      <c r="C28" s="11">
        <v>4.3060781812819873E-2</v>
      </c>
      <c r="D28" s="11">
        <v>1.5320025675641944E-3</v>
      </c>
      <c r="E28" s="11">
        <v>1.7794988689097006E-2</v>
      </c>
      <c r="F28" s="11">
        <v>0.11267175516062837</v>
      </c>
      <c r="H28" s="18" t="str">
        <f t="shared" si="1"/>
        <v>Instagram</v>
      </c>
      <c r="I28" s="19">
        <f t="shared" si="1"/>
        <v>5.0283982091147303E-2</v>
      </c>
      <c r="J28" s="19">
        <f t="shared" si="1"/>
        <v>4.3060781812819873E-2</v>
      </c>
      <c r="K28" s="19">
        <f t="shared" si="1"/>
        <v>1.5320025675641944E-3</v>
      </c>
      <c r="L28" s="20">
        <f t="shared" si="1"/>
        <v>1.7794988689097006E-2</v>
      </c>
    </row>
    <row r="29" spans="1:12" ht="18.5" customHeight="1" x14ac:dyDescent="0.35">
      <c r="A29" s="8" t="s">
        <v>70</v>
      </c>
      <c r="B29" s="11">
        <v>6.3496059750411282E-2</v>
      </c>
      <c r="C29" s="11">
        <v>4.6071629863988765E-2</v>
      </c>
      <c r="D29" s="11">
        <v>2.306247051322625E-3</v>
      </c>
      <c r="E29" s="11">
        <v>3.8927934093844286E-3</v>
      </c>
      <c r="F29" s="11">
        <v>0.11576673007510711</v>
      </c>
      <c r="H29" s="18" t="str">
        <f t="shared" si="1"/>
        <v>Partner App</v>
      </c>
      <c r="I29" s="19">
        <f t="shared" si="1"/>
        <v>6.3496059750411282E-2</v>
      </c>
      <c r="J29" s="19">
        <f t="shared" si="1"/>
        <v>4.6071629863988765E-2</v>
      </c>
      <c r="K29" s="19">
        <f t="shared" si="1"/>
        <v>2.306247051322625E-3</v>
      </c>
      <c r="L29" s="20">
        <f t="shared" si="1"/>
        <v>3.8927934093844286E-3</v>
      </c>
    </row>
    <row r="30" spans="1:12" ht="18.5" customHeight="1" x14ac:dyDescent="0.35">
      <c r="A30" s="8" t="s">
        <v>40</v>
      </c>
      <c r="B30" s="11">
        <v>9.6337892927149532E-2</v>
      </c>
      <c r="C30" s="11">
        <v>6.7920115842382611E-2</v>
      </c>
      <c r="D30" s="11">
        <v>5.4979832664581261E-3</v>
      </c>
      <c r="E30" s="11">
        <v>1.2933041488102518E-2</v>
      </c>
      <c r="F30" s="11">
        <v>0.1826890335240928</v>
      </c>
      <c r="H30" s="18" t="str">
        <f t="shared" si="1"/>
        <v>Target.com</v>
      </c>
      <c r="I30" s="19">
        <f t="shared" si="1"/>
        <v>9.6337892927149532E-2</v>
      </c>
      <c r="J30" s="19">
        <f t="shared" si="1"/>
        <v>6.7920115842382611E-2</v>
      </c>
      <c r="K30" s="19">
        <f t="shared" si="1"/>
        <v>5.4979832664581261E-3</v>
      </c>
      <c r="L30" s="20">
        <f t="shared" si="1"/>
        <v>1.2933041488102518E-2</v>
      </c>
    </row>
    <row r="31" spans="1:12" ht="18.5" customHeight="1" x14ac:dyDescent="0.35">
      <c r="A31" s="8" t="s">
        <v>35</v>
      </c>
      <c r="B31" s="11">
        <v>0.12522098709469262</v>
      </c>
      <c r="C31" s="11">
        <v>9.1492740283116228E-2</v>
      </c>
      <c r="D31" s="11">
        <v>6.3042760790965081E-3</v>
      </c>
      <c r="E31" s="11">
        <v>1.2408404181197551E-2</v>
      </c>
      <c r="F31" s="11">
        <v>0.23542640763810288</v>
      </c>
      <c r="H31" s="21" t="str">
        <f t="shared" si="1"/>
        <v>Website</v>
      </c>
      <c r="I31" s="22">
        <f t="shared" si="1"/>
        <v>0.12522098709469262</v>
      </c>
      <c r="J31" s="22">
        <f t="shared" si="1"/>
        <v>9.1492740283116228E-2</v>
      </c>
      <c r="K31" s="22">
        <f t="shared" si="1"/>
        <v>6.3042760790965081E-3</v>
      </c>
      <c r="L31" s="23">
        <f t="shared" si="1"/>
        <v>1.2408404181197551E-2</v>
      </c>
    </row>
    <row r="32" spans="1:12" x14ac:dyDescent="0.35">
      <c r="A32" s="8" t="s">
        <v>2530</v>
      </c>
      <c r="B32" s="11">
        <v>0.52495717387974916</v>
      </c>
      <c r="C32" s="11">
        <v>0.3711684913156732</v>
      </c>
      <c r="D32" s="11">
        <v>2.6245886489133303E-2</v>
      </c>
      <c r="E32" s="11">
        <v>7.7628448315444312E-2</v>
      </c>
      <c r="F32" s="11">
        <v>1</v>
      </c>
    </row>
    <row r="35" spans="1:12" x14ac:dyDescent="0.35">
      <c r="A35" s="7" t="s">
        <v>2529</v>
      </c>
      <c r="B35" t="s">
        <v>2518</v>
      </c>
    </row>
    <row r="36" spans="1:12" x14ac:dyDescent="0.35">
      <c r="A36" s="8">
        <v>1</v>
      </c>
      <c r="B36">
        <v>397</v>
      </c>
    </row>
    <row r="37" spans="1:12" x14ac:dyDescent="0.35">
      <c r="A37" s="8">
        <v>2</v>
      </c>
      <c r="B37">
        <v>540</v>
      </c>
    </row>
    <row r="38" spans="1:12" x14ac:dyDescent="0.35">
      <c r="A38" s="8">
        <v>3</v>
      </c>
      <c r="B38">
        <v>375</v>
      </c>
    </row>
    <row r="39" spans="1:12" x14ac:dyDescent="0.35">
      <c r="A39" s="8">
        <v>4</v>
      </c>
      <c r="B39">
        <v>246</v>
      </c>
    </row>
    <row r="40" spans="1:12" x14ac:dyDescent="0.35">
      <c r="A40" s="8">
        <v>5</v>
      </c>
      <c r="B40">
        <v>195</v>
      </c>
    </row>
    <row r="41" spans="1:12" x14ac:dyDescent="0.35">
      <c r="A41" s="8" t="s">
        <v>2539</v>
      </c>
      <c r="B41">
        <v>414</v>
      </c>
    </row>
    <row r="42" spans="1:12" x14ac:dyDescent="0.35">
      <c r="A42" s="8" t="s">
        <v>2540</v>
      </c>
      <c r="B42">
        <v>233</v>
      </c>
    </row>
    <row r="43" spans="1:12" x14ac:dyDescent="0.35">
      <c r="A43" s="8" t="s">
        <v>2530</v>
      </c>
      <c r="B43">
        <v>2400</v>
      </c>
    </row>
    <row r="46" spans="1:12" x14ac:dyDescent="0.35">
      <c r="A46" s="7" t="s">
        <v>2519</v>
      </c>
      <c r="B46" s="7" t="s">
        <v>2534</v>
      </c>
      <c r="I46" t="s">
        <v>2519</v>
      </c>
      <c r="J46"/>
      <c r="K46"/>
      <c r="L46"/>
    </row>
    <row r="47" spans="1:12" x14ac:dyDescent="0.35">
      <c r="A47" s="7" t="s">
        <v>2529</v>
      </c>
      <c r="B47" t="s">
        <v>2535</v>
      </c>
      <c r="C47" t="s">
        <v>2536</v>
      </c>
      <c r="D47" t="s">
        <v>2537</v>
      </c>
      <c r="E47" t="s">
        <v>2538</v>
      </c>
      <c r="H47" s="8" t="s">
        <v>2535</v>
      </c>
      <c r="I47">
        <v>6272</v>
      </c>
      <c r="J47"/>
      <c r="K47"/>
      <c r="L47"/>
    </row>
    <row r="48" spans="1:12" x14ac:dyDescent="0.35">
      <c r="A48" s="8" t="s">
        <v>44</v>
      </c>
      <c r="B48">
        <v>744</v>
      </c>
      <c r="C48">
        <v>713</v>
      </c>
      <c r="D48">
        <v>90</v>
      </c>
      <c r="E48">
        <v>98</v>
      </c>
      <c r="H48" s="8" t="s">
        <v>2536</v>
      </c>
      <c r="I48">
        <v>4672</v>
      </c>
      <c r="J48"/>
      <c r="K48"/>
      <c r="L48"/>
    </row>
    <row r="49" spans="1:12" x14ac:dyDescent="0.35">
      <c r="A49" s="8" t="s">
        <v>39</v>
      </c>
      <c r="B49">
        <v>716</v>
      </c>
      <c r="C49">
        <v>598</v>
      </c>
      <c r="D49">
        <v>18</v>
      </c>
      <c r="E49">
        <v>214</v>
      </c>
      <c r="H49" s="8" t="s">
        <v>2537</v>
      </c>
      <c r="I49">
        <v>317</v>
      </c>
      <c r="J49"/>
      <c r="K49"/>
      <c r="L49"/>
    </row>
    <row r="50" spans="1:12" x14ac:dyDescent="0.35">
      <c r="A50" s="8" t="s">
        <v>26</v>
      </c>
      <c r="B50">
        <v>627</v>
      </c>
      <c r="C50">
        <v>393</v>
      </c>
      <c r="D50">
        <v>29</v>
      </c>
      <c r="E50">
        <v>137</v>
      </c>
      <c r="H50" s="8" t="s">
        <v>2538</v>
      </c>
      <c r="I50">
        <v>736</v>
      </c>
      <c r="J50"/>
      <c r="K50"/>
      <c r="L50"/>
    </row>
    <row r="51" spans="1:12" x14ac:dyDescent="0.35">
      <c r="A51" s="8" t="s">
        <v>22</v>
      </c>
      <c r="B51">
        <v>568</v>
      </c>
      <c r="C51">
        <v>306</v>
      </c>
      <c r="D51">
        <v>22</v>
      </c>
      <c r="E51">
        <v>16</v>
      </c>
      <c r="I51"/>
      <c r="J51"/>
      <c r="K51"/>
      <c r="L51"/>
    </row>
    <row r="52" spans="1:12" x14ac:dyDescent="0.35">
      <c r="A52" s="8" t="s">
        <v>54</v>
      </c>
      <c r="B52">
        <v>482</v>
      </c>
      <c r="C52">
        <v>295</v>
      </c>
      <c r="D52">
        <v>8</v>
      </c>
      <c r="E52">
        <v>22</v>
      </c>
      <c r="I52"/>
      <c r="J52"/>
      <c r="K52"/>
      <c r="L52"/>
    </row>
    <row r="53" spans="1:12" x14ac:dyDescent="0.35">
      <c r="A53" s="8" t="s">
        <v>16</v>
      </c>
      <c r="B53">
        <v>428</v>
      </c>
      <c r="C53">
        <v>293</v>
      </c>
      <c r="E53">
        <v>24</v>
      </c>
      <c r="I53"/>
      <c r="J53"/>
      <c r="K53"/>
      <c r="L53"/>
    </row>
    <row r="54" spans="1:12" x14ac:dyDescent="0.35">
      <c r="A54" s="8" t="s">
        <v>46</v>
      </c>
      <c r="B54">
        <v>445</v>
      </c>
      <c r="C54">
        <v>202</v>
      </c>
      <c r="D54">
        <v>14</v>
      </c>
      <c r="E54">
        <v>39</v>
      </c>
      <c r="I54"/>
      <c r="J54"/>
      <c r="K54"/>
      <c r="L54"/>
    </row>
    <row r="55" spans="1:12" x14ac:dyDescent="0.35">
      <c r="A55" s="8" t="s">
        <v>32</v>
      </c>
      <c r="B55">
        <v>431</v>
      </c>
      <c r="C55">
        <v>187</v>
      </c>
      <c r="D55">
        <v>14</v>
      </c>
      <c r="E55">
        <v>15</v>
      </c>
      <c r="I55"/>
      <c r="J55"/>
      <c r="K55"/>
      <c r="L55"/>
    </row>
    <row r="56" spans="1:12" x14ac:dyDescent="0.35">
      <c r="A56" s="8" t="s">
        <v>42</v>
      </c>
      <c r="B56">
        <v>264</v>
      </c>
      <c r="C56">
        <v>318</v>
      </c>
      <c r="D56">
        <v>15</v>
      </c>
      <c r="E56">
        <v>9</v>
      </c>
      <c r="I56"/>
      <c r="J56"/>
      <c r="K56"/>
      <c r="L56"/>
    </row>
    <row r="57" spans="1:12" x14ac:dyDescent="0.35">
      <c r="A57" s="8" t="s">
        <v>37</v>
      </c>
      <c r="B57">
        <v>296</v>
      </c>
      <c r="C57">
        <v>275</v>
      </c>
      <c r="D57">
        <v>9</v>
      </c>
      <c r="E57">
        <v>23</v>
      </c>
      <c r="I57"/>
      <c r="J57"/>
      <c r="K57"/>
      <c r="L57"/>
    </row>
    <row r="58" spans="1:12" x14ac:dyDescent="0.35">
      <c r="A58" s="8" t="s">
        <v>123</v>
      </c>
      <c r="B58">
        <v>153</v>
      </c>
      <c r="C58">
        <v>246</v>
      </c>
      <c r="D58">
        <v>30</v>
      </c>
      <c r="E58">
        <v>8</v>
      </c>
      <c r="I58"/>
      <c r="J58"/>
      <c r="K58"/>
      <c r="L58"/>
    </row>
    <row r="59" spans="1:12" x14ac:dyDescent="0.35">
      <c r="A59" s="8" t="s">
        <v>146</v>
      </c>
      <c r="B59">
        <v>189</v>
      </c>
      <c r="C59">
        <v>168</v>
      </c>
      <c r="D59">
        <v>10</v>
      </c>
      <c r="E59">
        <v>31</v>
      </c>
      <c r="I59"/>
      <c r="J59"/>
      <c r="K59"/>
      <c r="L59"/>
    </row>
    <row r="60" spans="1:12" x14ac:dyDescent="0.35">
      <c r="A60" s="8" t="s">
        <v>69</v>
      </c>
      <c r="B60">
        <v>234</v>
      </c>
      <c r="C60">
        <v>93</v>
      </c>
      <c r="D60">
        <v>19</v>
      </c>
      <c r="E60">
        <v>24</v>
      </c>
      <c r="I60"/>
      <c r="J60"/>
      <c r="K60"/>
      <c r="L60"/>
    </row>
    <row r="61" spans="1:12" x14ac:dyDescent="0.35">
      <c r="A61" s="8" t="s">
        <v>30</v>
      </c>
      <c r="B61">
        <v>146</v>
      </c>
      <c r="C61">
        <v>94</v>
      </c>
      <c r="D61">
        <v>4</v>
      </c>
      <c r="E61">
        <v>28</v>
      </c>
      <c r="I61"/>
      <c r="J61"/>
      <c r="K61"/>
      <c r="L61"/>
    </row>
    <row r="62" spans="1:12" x14ac:dyDescent="0.35">
      <c r="A62" s="8" t="s">
        <v>135</v>
      </c>
      <c r="B62">
        <v>127</v>
      </c>
      <c r="C62">
        <v>118</v>
      </c>
      <c r="D62">
        <v>13</v>
      </c>
      <c r="E62">
        <v>12</v>
      </c>
      <c r="I62"/>
      <c r="J62"/>
      <c r="K62"/>
      <c r="L62"/>
    </row>
    <row r="63" spans="1:12" x14ac:dyDescent="0.35">
      <c r="A63" s="8" t="s">
        <v>67</v>
      </c>
      <c r="B63">
        <v>179</v>
      </c>
      <c r="C63">
        <v>76</v>
      </c>
      <c r="D63">
        <v>3</v>
      </c>
      <c r="I63"/>
      <c r="J63"/>
      <c r="K63"/>
      <c r="L63"/>
    </row>
    <row r="64" spans="1:12" x14ac:dyDescent="0.35">
      <c r="A64" s="8" t="s">
        <v>128</v>
      </c>
      <c r="B64">
        <v>99</v>
      </c>
      <c r="C64">
        <v>69</v>
      </c>
      <c r="D64">
        <v>3</v>
      </c>
      <c r="E64">
        <v>24</v>
      </c>
      <c r="I64"/>
      <c r="J64"/>
      <c r="K64"/>
      <c r="L64"/>
    </row>
    <row r="65" spans="1:14" x14ac:dyDescent="0.35">
      <c r="A65" s="8" t="s">
        <v>76</v>
      </c>
      <c r="B65">
        <v>75</v>
      </c>
      <c r="C65">
        <v>103</v>
      </c>
      <c r="D65">
        <v>4</v>
      </c>
      <c r="E65">
        <v>6</v>
      </c>
      <c r="I65"/>
      <c r="J65"/>
      <c r="K65"/>
      <c r="L65"/>
    </row>
    <row r="66" spans="1:14" x14ac:dyDescent="0.35">
      <c r="A66" s="8" t="s">
        <v>81</v>
      </c>
      <c r="B66">
        <v>43</v>
      </c>
      <c r="C66">
        <v>90</v>
      </c>
      <c r="D66">
        <v>8</v>
      </c>
      <c r="E66">
        <v>6</v>
      </c>
      <c r="I66"/>
      <c r="J66"/>
      <c r="K66"/>
      <c r="L66"/>
    </row>
    <row r="67" spans="1:14" x14ac:dyDescent="0.35">
      <c r="A67" s="8" t="s">
        <v>171</v>
      </c>
      <c r="B67">
        <v>26</v>
      </c>
      <c r="C67">
        <v>35</v>
      </c>
      <c r="D67">
        <v>4</v>
      </c>
      <c r="I67"/>
      <c r="J67"/>
      <c r="K67"/>
      <c r="L67"/>
    </row>
    <row r="70" spans="1:14" x14ac:dyDescent="0.35">
      <c r="G70" t="s">
        <v>2541</v>
      </c>
      <c r="L70" s="12" t="s">
        <v>2542</v>
      </c>
    </row>
    <row r="71" spans="1:14" x14ac:dyDescent="0.35">
      <c r="A71" s="7" t="s">
        <v>10</v>
      </c>
      <c r="B71" s="7" t="s">
        <v>11</v>
      </c>
      <c r="C71" t="s">
        <v>2519</v>
      </c>
      <c r="D71" t="s">
        <v>2520</v>
      </c>
      <c r="G71" s="9" t="s">
        <v>10</v>
      </c>
      <c r="H71" s="9" t="s">
        <v>11</v>
      </c>
      <c r="I71" s="9" t="s">
        <v>2519</v>
      </c>
      <c r="L71" s="9" t="s">
        <v>10</v>
      </c>
      <c r="M71" s="9" t="s">
        <v>11</v>
      </c>
      <c r="N71" s="9" t="s">
        <v>2520</v>
      </c>
    </row>
    <row r="72" spans="1:14" x14ac:dyDescent="0.35">
      <c r="A72" t="s">
        <v>19</v>
      </c>
      <c r="B72" t="s">
        <v>115</v>
      </c>
      <c r="C72">
        <v>579</v>
      </c>
      <c r="D72">
        <v>31884.999999999996</v>
      </c>
      <c r="G72" s="24" t="s">
        <v>19</v>
      </c>
      <c r="H72" t="s">
        <v>115</v>
      </c>
      <c r="I72">
        <v>579</v>
      </c>
      <c r="L72" s="24" t="s">
        <v>19</v>
      </c>
      <c r="M72" t="s">
        <v>115</v>
      </c>
      <c r="N72">
        <v>31884.999999999996</v>
      </c>
    </row>
    <row r="73" spans="1:14" x14ac:dyDescent="0.35">
      <c r="A73" t="s">
        <v>19</v>
      </c>
      <c r="B73" t="s">
        <v>20</v>
      </c>
      <c r="C73">
        <v>1</v>
      </c>
      <c r="D73">
        <v>10.9</v>
      </c>
      <c r="G73" s="24" t="s">
        <v>19</v>
      </c>
      <c r="H73" t="s">
        <v>20</v>
      </c>
      <c r="I73">
        <v>1</v>
      </c>
      <c r="L73" s="24" t="s">
        <v>19</v>
      </c>
      <c r="M73" t="s">
        <v>20</v>
      </c>
      <c r="N73">
        <v>10.9</v>
      </c>
    </row>
    <row r="74" spans="1:14" x14ac:dyDescent="0.35">
      <c r="A74" t="s">
        <v>19</v>
      </c>
      <c r="B74" t="s">
        <v>641</v>
      </c>
      <c r="C74">
        <v>9</v>
      </c>
      <c r="D74">
        <v>800.3</v>
      </c>
      <c r="G74" s="24" t="s">
        <v>19</v>
      </c>
      <c r="H74" t="s">
        <v>641</v>
      </c>
      <c r="I74">
        <v>9</v>
      </c>
      <c r="L74" s="24" t="s">
        <v>19</v>
      </c>
      <c r="M74" t="s">
        <v>641</v>
      </c>
      <c r="N74">
        <v>800.3</v>
      </c>
    </row>
    <row r="75" spans="1:14" x14ac:dyDescent="0.35">
      <c r="A75" t="s">
        <v>19</v>
      </c>
      <c r="B75" t="s">
        <v>967</v>
      </c>
      <c r="C75">
        <v>35</v>
      </c>
      <c r="D75">
        <v>1062.5999999999999</v>
      </c>
      <c r="G75" s="24" t="s">
        <v>19</v>
      </c>
      <c r="H75" t="s">
        <v>967</v>
      </c>
      <c r="I75">
        <v>35</v>
      </c>
      <c r="L75" s="24" t="s">
        <v>19</v>
      </c>
      <c r="M75" t="s">
        <v>967</v>
      </c>
      <c r="N75">
        <v>1062.5999999999999</v>
      </c>
    </row>
    <row r="76" spans="1:14" x14ac:dyDescent="0.35">
      <c r="A76" t="s">
        <v>19</v>
      </c>
      <c r="B76" t="s">
        <v>84</v>
      </c>
      <c r="C76">
        <v>12</v>
      </c>
      <c r="D76">
        <v>326.20000000000005</v>
      </c>
      <c r="G76" s="24" t="s">
        <v>19</v>
      </c>
      <c r="H76" t="s">
        <v>84</v>
      </c>
      <c r="I76">
        <v>12</v>
      </c>
      <c r="L76" s="24" t="s">
        <v>19</v>
      </c>
      <c r="M76" t="s">
        <v>84</v>
      </c>
      <c r="N76">
        <v>326.20000000000005</v>
      </c>
    </row>
    <row r="77" spans="1:14" x14ac:dyDescent="0.35">
      <c r="A77" t="s">
        <v>19</v>
      </c>
      <c r="B77" t="s">
        <v>1383</v>
      </c>
      <c r="C77">
        <v>4</v>
      </c>
      <c r="D77">
        <v>167.5</v>
      </c>
      <c r="G77" s="24" t="s">
        <v>19</v>
      </c>
      <c r="H77" t="s">
        <v>1383</v>
      </c>
      <c r="I77">
        <v>4</v>
      </c>
      <c r="L77" s="24" t="s">
        <v>19</v>
      </c>
      <c r="M77" t="s">
        <v>1383</v>
      </c>
      <c r="N77">
        <v>167.5</v>
      </c>
    </row>
    <row r="78" spans="1:14" x14ac:dyDescent="0.35">
      <c r="A78" t="s">
        <v>19</v>
      </c>
      <c r="B78" t="s">
        <v>24</v>
      </c>
      <c r="C78">
        <v>341</v>
      </c>
      <c r="D78">
        <v>16168.7</v>
      </c>
      <c r="G78" s="24" t="s">
        <v>19</v>
      </c>
      <c r="H78" t="s">
        <v>24</v>
      </c>
      <c r="I78">
        <v>341</v>
      </c>
      <c r="L78" s="24" t="s">
        <v>19</v>
      </c>
      <c r="M78" t="s">
        <v>24</v>
      </c>
      <c r="N78">
        <v>16168.7</v>
      </c>
    </row>
    <row r="79" spans="1:14" x14ac:dyDescent="0.35">
      <c r="A79" t="s">
        <v>19</v>
      </c>
      <c r="B79" t="s">
        <v>2204</v>
      </c>
      <c r="C79">
        <v>13</v>
      </c>
      <c r="D79">
        <v>322.40000000000003</v>
      </c>
      <c r="G79" s="24" t="s">
        <v>19</v>
      </c>
      <c r="H79" t="s">
        <v>2204</v>
      </c>
      <c r="I79">
        <v>13</v>
      </c>
      <c r="L79" s="24" t="s">
        <v>19</v>
      </c>
      <c r="M79" t="s">
        <v>2204</v>
      </c>
      <c r="N79">
        <v>322.40000000000003</v>
      </c>
    </row>
    <row r="80" spans="1:14" x14ac:dyDescent="0.35">
      <c r="A80" t="s">
        <v>19</v>
      </c>
      <c r="B80" t="s">
        <v>437</v>
      </c>
      <c r="C80">
        <v>31</v>
      </c>
      <c r="D80">
        <v>2092.8000000000002</v>
      </c>
      <c r="G80" s="24" t="s">
        <v>19</v>
      </c>
      <c r="H80" t="s">
        <v>437</v>
      </c>
      <c r="I80">
        <v>31</v>
      </c>
      <c r="L80" s="24" t="s">
        <v>19</v>
      </c>
      <c r="M80" t="s">
        <v>437</v>
      </c>
      <c r="N80">
        <v>2092.8000000000002</v>
      </c>
    </row>
    <row r="81" spans="1:14" x14ac:dyDescent="0.35">
      <c r="A81" t="s">
        <v>19</v>
      </c>
      <c r="B81" t="s">
        <v>28</v>
      </c>
      <c r="C81">
        <v>279</v>
      </c>
      <c r="D81">
        <v>12662.500000000002</v>
      </c>
      <c r="G81" s="24" t="s">
        <v>19</v>
      </c>
      <c r="H81" t="s">
        <v>28</v>
      </c>
      <c r="I81">
        <v>279</v>
      </c>
      <c r="L81" s="24" t="s">
        <v>19</v>
      </c>
      <c r="M81" t="s">
        <v>28</v>
      </c>
      <c r="N81">
        <v>12662.500000000002</v>
      </c>
    </row>
    <row r="82" spans="1:14" x14ac:dyDescent="0.35">
      <c r="A82" t="s">
        <v>19</v>
      </c>
      <c r="B82" t="s">
        <v>208</v>
      </c>
      <c r="C82">
        <v>9</v>
      </c>
      <c r="D82">
        <v>343.2</v>
      </c>
      <c r="G82" s="24" t="s">
        <v>19</v>
      </c>
      <c r="H82" t="s">
        <v>208</v>
      </c>
      <c r="I82">
        <v>9</v>
      </c>
      <c r="L82" s="24" t="s">
        <v>19</v>
      </c>
      <c r="M82" t="s">
        <v>208</v>
      </c>
      <c r="N82">
        <v>343.2</v>
      </c>
    </row>
    <row r="83" spans="1:14" x14ac:dyDescent="0.35">
      <c r="A83" t="s">
        <v>19</v>
      </c>
      <c r="B83" t="s">
        <v>587</v>
      </c>
      <c r="C83">
        <v>49</v>
      </c>
      <c r="D83">
        <v>2188.2999999999997</v>
      </c>
      <c r="G83" s="24" t="s">
        <v>19</v>
      </c>
      <c r="H83" t="s">
        <v>587</v>
      </c>
      <c r="I83">
        <v>49</v>
      </c>
      <c r="L83" s="24" t="s">
        <v>19</v>
      </c>
      <c r="M83" t="s">
        <v>587</v>
      </c>
      <c r="N83">
        <v>2188.2999999999997</v>
      </c>
    </row>
    <row r="84" spans="1:14" x14ac:dyDescent="0.35">
      <c r="A84" t="s">
        <v>19</v>
      </c>
      <c r="B84" t="s">
        <v>331</v>
      </c>
      <c r="C84">
        <v>59</v>
      </c>
      <c r="D84">
        <v>2661.5999999999995</v>
      </c>
      <c r="G84" s="24" t="s">
        <v>19</v>
      </c>
      <c r="H84" t="s">
        <v>331</v>
      </c>
      <c r="I84">
        <v>59</v>
      </c>
      <c r="L84" s="24" t="s">
        <v>19</v>
      </c>
      <c r="M84" t="s">
        <v>331</v>
      </c>
      <c r="N84">
        <v>2661.5999999999995</v>
      </c>
    </row>
    <row r="85" spans="1:14" x14ac:dyDescent="0.35">
      <c r="A85" t="s">
        <v>19</v>
      </c>
      <c r="B85" t="s">
        <v>86</v>
      </c>
      <c r="C85">
        <v>8</v>
      </c>
      <c r="D85">
        <v>887.5</v>
      </c>
      <c r="G85" s="24" t="s">
        <v>19</v>
      </c>
      <c r="H85" t="s">
        <v>86</v>
      </c>
      <c r="I85">
        <v>8</v>
      </c>
      <c r="L85" s="24" t="s">
        <v>19</v>
      </c>
      <c r="M85" t="s">
        <v>86</v>
      </c>
      <c r="N85">
        <v>887.5</v>
      </c>
    </row>
    <row r="86" spans="1:14" x14ac:dyDescent="0.35">
      <c r="A86" t="s">
        <v>19</v>
      </c>
      <c r="B86" t="s">
        <v>147</v>
      </c>
      <c r="C86">
        <v>222</v>
      </c>
      <c r="D86">
        <v>11354.199999999993</v>
      </c>
      <c r="G86" s="24" t="s">
        <v>19</v>
      </c>
      <c r="H86" t="s">
        <v>147</v>
      </c>
      <c r="I86">
        <v>222</v>
      </c>
      <c r="L86" s="24" t="s">
        <v>19</v>
      </c>
      <c r="M86" t="s">
        <v>147</v>
      </c>
      <c r="N86">
        <v>11354.199999999993</v>
      </c>
    </row>
    <row r="87" spans="1:14" x14ac:dyDescent="0.35">
      <c r="A87" t="s">
        <v>19</v>
      </c>
      <c r="B87" t="s">
        <v>334</v>
      </c>
      <c r="C87">
        <v>36</v>
      </c>
      <c r="D87">
        <v>1558.4</v>
      </c>
      <c r="G87" s="24" t="s">
        <v>19</v>
      </c>
      <c r="H87" t="s">
        <v>334</v>
      </c>
      <c r="I87">
        <v>36</v>
      </c>
      <c r="L87" s="24" t="s">
        <v>19</v>
      </c>
      <c r="M87" t="s">
        <v>334</v>
      </c>
      <c r="N87">
        <v>1558.4</v>
      </c>
    </row>
    <row r="88" spans="1:14" x14ac:dyDescent="0.35">
      <c r="A88" t="s">
        <v>19</v>
      </c>
      <c r="B88" t="s">
        <v>949</v>
      </c>
      <c r="C88">
        <v>30</v>
      </c>
      <c r="D88">
        <v>2223.9</v>
      </c>
      <c r="G88" s="24" t="s">
        <v>19</v>
      </c>
      <c r="H88" t="s">
        <v>949</v>
      </c>
      <c r="I88">
        <v>30</v>
      </c>
      <c r="L88" s="24" t="s">
        <v>19</v>
      </c>
      <c r="M88" t="s">
        <v>949</v>
      </c>
      <c r="N88">
        <v>2223.9</v>
      </c>
    </row>
    <row r="89" spans="1:14" x14ac:dyDescent="0.35">
      <c r="A89" t="s">
        <v>19</v>
      </c>
      <c r="B89" t="s">
        <v>1426</v>
      </c>
      <c r="C89">
        <v>1</v>
      </c>
      <c r="D89">
        <v>26.2</v>
      </c>
      <c r="G89" s="24" t="s">
        <v>19</v>
      </c>
      <c r="H89" t="s">
        <v>1426</v>
      </c>
      <c r="I89">
        <v>1</v>
      </c>
      <c r="L89" s="24" t="s">
        <v>19</v>
      </c>
      <c r="M89" t="s">
        <v>1426</v>
      </c>
      <c r="N89">
        <v>26.2</v>
      </c>
    </row>
    <row r="90" spans="1:14" x14ac:dyDescent="0.35">
      <c r="A90" t="s">
        <v>19</v>
      </c>
      <c r="B90" t="s">
        <v>33</v>
      </c>
      <c r="C90">
        <v>3991</v>
      </c>
      <c r="D90">
        <v>215551.19999999981</v>
      </c>
      <c r="G90" s="24" t="s">
        <v>19</v>
      </c>
      <c r="H90" t="s">
        <v>33</v>
      </c>
      <c r="I90">
        <v>3991</v>
      </c>
      <c r="L90" s="24" t="s">
        <v>19</v>
      </c>
      <c r="M90" t="s">
        <v>33</v>
      </c>
      <c r="N90">
        <v>215551.19999999981</v>
      </c>
    </row>
    <row r="91" spans="1:14" x14ac:dyDescent="0.35">
      <c r="A91" t="s">
        <v>19</v>
      </c>
      <c r="B91" t="s">
        <v>364</v>
      </c>
      <c r="C91">
        <v>45</v>
      </c>
      <c r="D91">
        <v>2687.3999999999996</v>
      </c>
      <c r="G91" s="24" t="s">
        <v>19</v>
      </c>
      <c r="H91" t="s">
        <v>364</v>
      </c>
      <c r="I91">
        <v>45</v>
      </c>
      <c r="L91" s="24" t="s">
        <v>19</v>
      </c>
      <c r="M91" t="s">
        <v>364</v>
      </c>
      <c r="N91">
        <v>2687.3999999999996</v>
      </c>
    </row>
    <row r="92" spans="1:14" x14ac:dyDescent="0.35">
      <c r="A92" t="s">
        <v>19</v>
      </c>
      <c r="B92" t="s">
        <v>545</v>
      </c>
      <c r="C92">
        <v>39</v>
      </c>
      <c r="D92">
        <v>1463.3000000000002</v>
      </c>
      <c r="G92" s="24" t="s">
        <v>19</v>
      </c>
      <c r="H92" t="s">
        <v>545</v>
      </c>
      <c r="I92">
        <v>39</v>
      </c>
      <c r="L92" s="24" t="s">
        <v>19</v>
      </c>
      <c r="M92" t="s">
        <v>545</v>
      </c>
      <c r="N92">
        <v>1463.3000000000002</v>
      </c>
    </row>
    <row r="93" spans="1:14" x14ac:dyDescent="0.35">
      <c r="A93" t="s">
        <v>19</v>
      </c>
      <c r="B93" t="s">
        <v>416</v>
      </c>
      <c r="C93">
        <v>6</v>
      </c>
      <c r="D93">
        <v>445.79999999999995</v>
      </c>
      <c r="G93" s="24" t="s">
        <v>19</v>
      </c>
      <c r="H93" t="s">
        <v>416</v>
      </c>
      <c r="I93">
        <v>6</v>
      </c>
      <c r="L93" s="24" t="s">
        <v>19</v>
      </c>
      <c r="M93" t="s">
        <v>416</v>
      </c>
      <c r="N93">
        <v>445.79999999999995</v>
      </c>
    </row>
    <row r="94" spans="1:14" x14ac:dyDescent="0.35">
      <c r="A94" t="s">
        <v>19</v>
      </c>
      <c r="B94" t="s">
        <v>258</v>
      </c>
      <c r="C94">
        <v>9</v>
      </c>
      <c r="D94">
        <v>273.59999999999997</v>
      </c>
      <c r="G94" s="24" t="s">
        <v>19</v>
      </c>
      <c r="H94" t="s">
        <v>258</v>
      </c>
      <c r="I94">
        <v>9</v>
      </c>
      <c r="L94" s="24" t="s">
        <v>19</v>
      </c>
      <c r="M94" t="s">
        <v>258</v>
      </c>
      <c r="N94">
        <v>273.59999999999997</v>
      </c>
    </row>
    <row r="95" spans="1:14" x14ac:dyDescent="0.35">
      <c r="A95" t="s">
        <v>19</v>
      </c>
      <c r="B95" t="s">
        <v>186</v>
      </c>
      <c r="C95">
        <v>60</v>
      </c>
      <c r="D95">
        <v>2690.4</v>
      </c>
      <c r="G95" s="24" t="s">
        <v>19</v>
      </c>
      <c r="H95" t="s">
        <v>186</v>
      </c>
      <c r="I95">
        <v>60</v>
      </c>
      <c r="L95" s="24" t="s">
        <v>19</v>
      </c>
      <c r="M95" t="s">
        <v>186</v>
      </c>
      <c r="N95">
        <v>2690.4</v>
      </c>
    </row>
    <row r="96" spans="1:14" x14ac:dyDescent="0.35">
      <c r="A96" t="s">
        <v>19</v>
      </c>
      <c r="B96" t="s">
        <v>392</v>
      </c>
      <c r="C96">
        <v>2</v>
      </c>
      <c r="D96">
        <v>28.4</v>
      </c>
      <c r="G96" s="24" t="s">
        <v>19</v>
      </c>
      <c r="H96" t="s">
        <v>392</v>
      </c>
      <c r="I96">
        <v>2</v>
      </c>
      <c r="L96" s="24" t="s">
        <v>19</v>
      </c>
      <c r="M96" t="s">
        <v>392</v>
      </c>
      <c r="N96">
        <v>28.4</v>
      </c>
    </row>
    <row r="97" spans="1:14" x14ac:dyDescent="0.35">
      <c r="A97" t="s">
        <v>19</v>
      </c>
      <c r="B97" t="s">
        <v>670</v>
      </c>
      <c r="C97">
        <v>4</v>
      </c>
      <c r="D97">
        <v>204.8</v>
      </c>
      <c r="G97" s="24" t="s">
        <v>19</v>
      </c>
      <c r="H97" t="s">
        <v>670</v>
      </c>
      <c r="I97">
        <v>4</v>
      </c>
      <c r="L97" s="24" t="s">
        <v>19</v>
      </c>
      <c r="M97" t="s">
        <v>670</v>
      </c>
      <c r="N97">
        <v>204.8</v>
      </c>
    </row>
    <row r="98" spans="1:14" x14ac:dyDescent="0.35">
      <c r="A98" t="s">
        <v>19</v>
      </c>
      <c r="B98" t="s">
        <v>802</v>
      </c>
      <c r="C98">
        <v>31</v>
      </c>
      <c r="D98">
        <v>1607.8999999999999</v>
      </c>
      <c r="G98" s="24" t="s">
        <v>19</v>
      </c>
      <c r="H98" t="s">
        <v>802</v>
      </c>
      <c r="I98">
        <v>31</v>
      </c>
      <c r="L98" s="24" t="s">
        <v>19</v>
      </c>
      <c r="M98" t="s">
        <v>802</v>
      </c>
      <c r="N98">
        <v>1607.8999999999999</v>
      </c>
    </row>
    <row r="99" spans="1:14" x14ac:dyDescent="0.35">
      <c r="A99" t="s">
        <v>19</v>
      </c>
      <c r="B99" t="s">
        <v>98</v>
      </c>
      <c r="C99">
        <v>88</v>
      </c>
      <c r="D99">
        <v>6444.9</v>
      </c>
      <c r="G99" s="24" t="s">
        <v>19</v>
      </c>
      <c r="H99" t="s">
        <v>98</v>
      </c>
      <c r="I99">
        <v>88</v>
      </c>
      <c r="L99" s="24" t="s">
        <v>19</v>
      </c>
      <c r="M99" t="s">
        <v>98</v>
      </c>
      <c r="N99">
        <v>6444.9</v>
      </c>
    </row>
    <row r="100" spans="1:14" x14ac:dyDescent="0.35">
      <c r="A100" t="s">
        <v>19</v>
      </c>
      <c r="B100" t="s">
        <v>49</v>
      </c>
      <c r="C100">
        <v>25</v>
      </c>
      <c r="D100">
        <v>1809.3</v>
      </c>
      <c r="G100" s="24" t="s">
        <v>19</v>
      </c>
      <c r="H100" t="s">
        <v>49</v>
      </c>
      <c r="I100">
        <v>25</v>
      </c>
      <c r="L100" s="24" t="s">
        <v>19</v>
      </c>
      <c r="M100" t="s">
        <v>49</v>
      </c>
      <c r="N100">
        <v>1809.3</v>
      </c>
    </row>
    <row r="101" spans="1:14" x14ac:dyDescent="0.35">
      <c r="A101" t="s">
        <v>19</v>
      </c>
      <c r="B101" t="s">
        <v>188</v>
      </c>
      <c r="C101">
        <v>178</v>
      </c>
      <c r="D101">
        <v>9680.399999999996</v>
      </c>
      <c r="G101" s="24" t="s">
        <v>19</v>
      </c>
      <c r="H101" t="s">
        <v>188</v>
      </c>
      <c r="I101">
        <v>178</v>
      </c>
      <c r="L101" s="24" t="s">
        <v>19</v>
      </c>
      <c r="M101" t="s">
        <v>188</v>
      </c>
      <c r="N101">
        <v>9680.399999999996</v>
      </c>
    </row>
    <row r="102" spans="1:14" x14ac:dyDescent="0.35">
      <c r="A102" t="s">
        <v>19</v>
      </c>
      <c r="B102" t="s">
        <v>52</v>
      </c>
      <c r="C102">
        <v>141</v>
      </c>
      <c r="D102">
        <v>9414.7999999999993</v>
      </c>
      <c r="G102" s="24" t="s">
        <v>19</v>
      </c>
      <c r="H102" t="s">
        <v>52</v>
      </c>
      <c r="I102">
        <v>141</v>
      </c>
      <c r="L102" s="24" t="s">
        <v>19</v>
      </c>
      <c r="M102" t="s">
        <v>52</v>
      </c>
      <c r="N102">
        <v>9414.7999999999993</v>
      </c>
    </row>
    <row r="103" spans="1:14" x14ac:dyDescent="0.35">
      <c r="A103" t="s">
        <v>19</v>
      </c>
      <c r="B103" t="s">
        <v>338</v>
      </c>
      <c r="C103">
        <v>6</v>
      </c>
      <c r="D103">
        <v>206.1</v>
      </c>
      <c r="G103" s="24" t="s">
        <v>19</v>
      </c>
      <c r="H103" t="s">
        <v>338</v>
      </c>
      <c r="I103">
        <v>6</v>
      </c>
      <c r="L103" s="24" t="s">
        <v>19</v>
      </c>
      <c r="M103" t="s">
        <v>338</v>
      </c>
      <c r="N103">
        <v>206.1</v>
      </c>
    </row>
    <row r="104" spans="1:14" x14ac:dyDescent="0.35">
      <c r="A104" t="s">
        <v>19</v>
      </c>
      <c r="B104" t="s">
        <v>158</v>
      </c>
      <c r="C104">
        <v>178</v>
      </c>
      <c r="D104">
        <v>7691.3</v>
      </c>
      <c r="G104" s="24" t="s">
        <v>19</v>
      </c>
      <c r="H104" t="s">
        <v>158</v>
      </c>
      <c r="I104">
        <v>178</v>
      </c>
      <c r="L104" s="24" t="s">
        <v>19</v>
      </c>
      <c r="M104" t="s">
        <v>158</v>
      </c>
      <c r="N104">
        <v>7691.3</v>
      </c>
    </row>
    <row r="105" spans="1:14" x14ac:dyDescent="0.35">
      <c r="A105" t="s">
        <v>19</v>
      </c>
      <c r="B105" t="s">
        <v>55</v>
      </c>
      <c r="C105">
        <v>699</v>
      </c>
      <c r="D105">
        <v>37784.900000000016</v>
      </c>
      <c r="G105" s="24" t="s">
        <v>19</v>
      </c>
      <c r="H105" t="s">
        <v>55</v>
      </c>
      <c r="I105">
        <v>699</v>
      </c>
      <c r="L105" s="24" t="s">
        <v>19</v>
      </c>
      <c r="M105" t="s">
        <v>55</v>
      </c>
      <c r="N105">
        <v>37784.900000000016</v>
      </c>
    </row>
    <row r="106" spans="1:14" x14ac:dyDescent="0.35">
      <c r="A106" t="s">
        <v>19</v>
      </c>
      <c r="B106" t="s">
        <v>342</v>
      </c>
      <c r="C106">
        <v>23</v>
      </c>
      <c r="D106">
        <v>1129.7</v>
      </c>
      <c r="G106" s="24" t="s">
        <v>19</v>
      </c>
      <c r="H106" t="s">
        <v>342</v>
      </c>
      <c r="I106">
        <v>23</v>
      </c>
      <c r="L106" s="24" t="s">
        <v>19</v>
      </c>
      <c r="M106" t="s">
        <v>342</v>
      </c>
      <c r="N106">
        <v>1129.7</v>
      </c>
    </row>
    <row r="107" spans="1:14" x14ac:dyDescent="0.35">
      <c r="A107" t="s">
        <v>19</v>
      </c>
      <c r="B107" t="s">
        <v>59</v>
      </c>
      <c r="C107">
        <v>356</v>
      </c>
      <c r="D107">
        <v>20988.9</v>
      </c>
      <c r="G107" s="24" t="s">
        <v>19</v>
      </c>
      <c r="H107" t="s">
        <v>59</v>
      </c>
      <c r="I107">
        <v>356</v>
      </c>
      <c r="L107" s="24" t="s">
        <v>19</v>
      </c>
      <c r="M107" t="s">
        <v>59</v>
      </c>
      <c r="N107">
        <v>20988.9</v>
      </c>
    </row>
    <row r="108" spans="1:14" x14ac:dyDescent="0.35">
      <c r="A108" t="s">
        <v>19</v>
      </c>
      <c r="B108" t="s">
        <v>62</v>
      </c>
      <c r="C108">
        <v>1768</v>
      </c>
      <c r="D108">
        <v>98367.099999999977</v>
      </c>
      <c r="G108" s="24" t="s">
        <v>19</v>
      </c>
      <c r="H108" t="s">
        <v>62</v>
      </c>
      <c r="I108">
        <v>1768</v>
      </c>
      <c r="L108" s="24" t="s">
        <v>19</v>
      </c>
      <c r="M108" t="s">
        <v>62</v>
      </c>
      <c r="N108">
        <v>98367.099999999977</v>
      </c>
    </row>
    <row r="109" spans="1:14" x14ac:dyDescent="0.35">
      <c r="A109" t="s">
        <v>19</v>
      </c>
      <c r="B109" t="s">
        <v>103</v>
      </c>
      <c r="C109">
        <v>307</v>
      </c>
      <c r="D109">
        <v>21911.9</v>
      </c>
      <c r="G109" s="24" t="s">
        <v>19</v>
      </c>
      <c r="H109" t="s">
        <v>103</v>
      </c>
      <c r="I109">
        <v>307</v>
      </c>
      <c r="L109" s="24" t="s">
        <v>19</v>
      </c>
      <c r="M109" t="s">
        <v>103</v>
      </c>
      <c r="N109">
        <v>21911.9</v>
      </c>
    </row>
    <row r="110" spans="1:14" x14ac:dyDescent="0.35">
      <c r="A110" t="s">
        <v>19</v>
      </c>
      <c r="B110" t="s">
        <v>201</v>
      </c>
      <c r="C110">
        <v>117</v>
      </c>
      <c r="D110">
        <v>5441.2</v>
      </c>
      <c r="G110" s="24" t="s">
        <v>19</v>
      </c>
      <c r="H110" t="s">
        <v>201</v>
      </c>
      <c r="I110">
        <v>117</v>
      </c>
      <c r="L110" s="24" t="s">
        <v>19</v>
      </c>
      <c r="M110" t="s">
        <v>201</v>
      </c>
      <c r="N110">
        <v>5441.2</v>
      </c>
    </row>
    <row r="111" spans="1:14" x14ac:dyDescent="0.35">
      <c r="A111" t="s">
        <v>19</v>
      </c>
      <c r="B111" t="s">
        <v>429</v>
      </c>
      <c r="C111">
        <v>13</v>
      </c>
      <c r="D111">
        <v>392.8</v>
      </c>
      <c r="G111" s="24" t="s">
        <v>19</v>
      </c>
      <c r="H111" t="s">
        <v>429</v>
      </c>
      <c r="I111">
        <v>13</v>
      </c>
      <c r="L111" s="24" t="s">
        <v>19</v>
      </c>
      <c r="M111" t="s">
        <v>429</v>
      </c>
      <c r="N111">
        <v>392.8</v>
      </c>
    </row>
    <row r="112" spans="1:14" x14ac:dyDescent="0.35">
      <c r="A112" t="s">
        <v>19</v>
      </c>
      <c r="B112" t="s">
        <v>72</v>
      </c>
      <c r="C112">
        <v>364</v>
      </c>
      <c r="D112">
        <v>16172.000000000005</v>
      </c>
      <c r="G112" s="24" t="s">
        <v>19</v>
      </c>
      <c r="H112" t="s">
        <v>72</v>
      </c>
      <c r="I112">
        <v>364</v>
      </c>
      <c r="L112" s="24" t="s">
        <v>19</v>
      </c>
      <c r="M112" t="s">
        <v>72</v>
      </c>
      <c r="N112">
        <v>16172.000000000005</v>
      </c>
    </row>
    <row r="113" spans="1:14" x14ac:dyDescent="0.35">
      <c r="A113" t="s">
        <v>19</v>
      </c>
      <c r="B113" t="s">
        <v>74</v>
      </c>
      <c r="C113">
        <v>95</v>
      </c>
      <c r="D113">
        <v>4334.9999999999991</v>
      </c>
      <c r="G113" s="24" t="s">
        <v>19</v>
      </c>
      <c r="H113" t="s">
        <v>74</v>
      </c>
      <c r="I113">
        <v>95</v>
      </c>
      <c r="L113" s="24" t="s">
        <v>19</v>
      </c>
      <c r="M113" t="s">
        <v>74</v>
      </c>
      <c r="N113">
        <v>4334.9999999999991</v>
      </c>
    </row>
    <row r="114" spans="1:14" x14ac:dyDescent="0.35">
      <c r="A114" t="s">
        <v>19</v>
      </c>
      <c r="B114" t="s">
        <v>77</v>
      </c>
      <c r="C114">
        <v>737</v>
      </c>
      <c r="D114">
        <v>37449.000000000007</v>
      </c>
      <c r="G114" s="24" t="s">
        <v>19</v>
      </c>
      <c r="H114" t="s">
        <v>77</v>
      </c>
      <c r="I114">
        <v>737</v>
      </c>
      <c r="L114" s="24" t="s">
        <v>19</v>
      </c>
      <c r="M114" t="s">
        <v>77</v>
      </c>
      <c r="N114">
        <v>37449.000000000007</v>
      </c>
    </row>
    <row r="115" spans="1:14" x14ac:dyDescent="0.35">
      <c r="A115" t="s">
        <v>19</v>
      </c>
      <c r="B115" t="s">
        <v>309</v>
      </c>
      <c r="C115">
        <v>39</v>
      </c>
      <c r="D115">
        <v>2447.5</v>
      </c>
      <c r="G115" s="24" t="s">
        <v>19</v>
      </c>
      <c r="H115" t="s">
        <v>309</v>
      </c>
      <c r="I115">
        <v>39</v>
      </c>
      <c r="L115" s="24" t="s">
        <v>19</v>
      </c>
      <c r="M115" t="s">
        <v>309</v>
      </c>
      <c r="N115">
        <v>2447.5</v>
      </c>
    </row>
    <row r="116" spans="1:14" x14ac:dyDescent="0.35">
      <c r="A116" t="s">
        <v>19</v>
      </c>
      <c r="B116" t="s">
        <v>1116</v>
      </c>
      <c r="C116">
        <v>56</v>
      </c>
      <c r="D116">
        <v>3391.1</v>
      </c>
      <c r="G116" s="24" t="s">
        <v>19</v>
      </c>
      <c r="H116" t="s">
        <v>1116</v>
      </c>
      <c r="I116">
        <v>56</v>
      </c>
      <c r="L116" s="24" t="s">
        <v>19</v>
      </c>
      <c r="M116" t="s">
        <v>1116</v>
      </c>
      <c r="N116">
        <v>3391.1</v>
      </c>
    </row>
    <row r="117" spans="1:14" x14ac:dyDescent="0.35">
      <c r="A117" t="s">
        <v>19</v>
      </c>
      <c r="B117" t="s">
        <v>700</v>
      </c>
      <c r="C117">
        <v>2</v>
      </c>
      <c r="D117">
        <v>30.8</v>
      </c>
      <c r="G117" s="24" t="s">
        <v>19</v>
      </c>
      <c r="H117" t="s">
        <v>700</v>
      </c>
      <c r="I117">
        <v>2</v>
      </c>
      <c r="L117" s="24" t="s">
        <v>19</v>
      </c>
      <c r="M117" t="s">
        <v>700</v>
      </c>
      <c r="N117">
        <v>30.8</v>
      </c>
    </row>
    <row r="118" spans="1:14" x14ac:dyDescent="0.35">
      <c r="A118" t="s">
        <v>19</v>
      </c>
      <c r="B118" t="s">
        <v>268</v>
      </c>
      <c r="C118">
        <v>8</v>
      </c>
      <c r="D118">
        <v>332.3</v>
      </c>
      <c r="G118" s="24" t="s">
        <v>19</v>
      </c>
      <c r="H118" t="s">
        <v>268</v>
      </c>
      <c r="I118">
        <v>8</v>
      </c>
      <c r="L118" s="24" t="s">
        <v>19</v>
      </c>
      <c r="M118" t="s">
        <v>268</v>
      </c>
      <c r="N118">
        <v>332.3</v>
      </c>
    </row>
    <row r="119" spans="1:14" x14ac:dyDescent="0.35">
      <c r="A119" t="s">
        <v>19</v>
      </c>
      <c r="B119" t="s">
        <v>377</v>
      </c>
      <c r="C119">
        <v>52</v>
      </c>
      <c r="D119">
        <v>3175.9999999999995</v>
      </c>
      <c r="G119" s="24" t="s">
        <v>19</v>
      </c>
      <c r="H119" t="s">
        <v>377</v>
      </c>
      <c r="I119">
        <v>52</v>
      </c>
      <c r="L119" s="24" t="s">
        <v>19</v>
      </c>
      <c r="M119" t="s">
        <v>377</v>
      </c>
      <c r="N119">
        <v>3175.9999999999995</v>
      </c>
    </row>
    <row r="120" spans="1:14" x14ac:dyDescent="0.35">
      <c r="A120" t="s">
        <v>19</v>
      </c>
      <c r="B120" t="s">
        <v>108</v>
      </c>
      <c r="C120">
        <v>295</v>
      </c>
      <c r="D120">
        <v>20939.600000000002</v>
      </c>
      <c r="G120" s="24" t="s">
        <v>19</v>
      </c>
      <c r="H120" t="s">
        <v>108</v>
      </c>
      <c r="I120">
        <v>295</v>
      </c>
      <c r="L120" s="24" t="s">
        <v>19</v>
      </c>
      <c r="M120" t="s">
        <v>108</v>
      </c>
      <c r="N120">
        <v>20939.600000000002</v>
      </c>
    </row>
    <row r="121" spans="1:14" x14ac:dyDescent="0.35">
      <c r="A121" t="s">
        <v>19</v>
      </c>
      <c r="B121" t="s">
        <v>110</v>
      </c>
      <c r="C121">
        <v>195</v>
      </c>
      <c r="D121">
        <v>10185.899999999996</v>
      </c>
      <c r="G121" s="24" t="s">
        <v>19</v>
      </c>
      <c r="H121" t="s">
        <v>110</v>
      </c>
      <c r="I121">
        <v>195</v>
      </c>
      <c r="L121" s="24" t="s">
        <v>19</v>
      </c>
      <c r="M121" t="s">
        <v>110</v>
      </c>
      <c r="N121">
        <v>10185.899999999996</v>
      </c>
    </row>
    <row r="122" spans="1:14" x14ac:dyDescent="0.35">
      <c r="A122" t="s">
        <v>19</v>
      </c>
      <c r="B122" t="s">
        <v>292</v>
      </c>
      <c r="C122">
        <v>20</v>
      </c>
      <c r="D122">
        <v>958.7</v>
      </c>
      <c r="G122" s="24" t="s">
        <v>19</v>
      </c>
      <c r="H122" t="s">
        <v>292</v>
      </c>
      <c r="I122">
        <v>20</v>
      </c>
      <c r="L122" s="24" t="s">
        <v>19</v>
      </c>
      <c r="M122" t="s">
        <v>292</v>
      </c>
      <c r="N122">
        <v>958.7</v>
      </c>
    </row>
    <row r="123" spans="1:14" x14ac:dyDescent="0.35">
      <c r="A123" t="s">
        <v>19</v>
      </c>
      <c r="B123" t="s">
        <v>79</v>
      </c>
      <c r="C123">
        <v>6</v>
      </c>
      <c r="D123">
        <v>323</v>
      </c>
      <c r="G123" s="24" t="s">
        <v>19</v>
      </c>
      <c r="H123" t="s">
        <v>79</v>
      </c>
      <c r="I123">
        <v>6</v>
      </c>
      <c r="L123" s="24" t="s">
        <v>19</v>
      </c>
      <c r="M123" t="s">
        <v>79</v>
      </c>
      <c r="N123">
        <v>323</v>
      </c>
    </row>
    <row r="124" spans="1:14" x14ac:dyDescent="0.35">
      <c r="A124" t="s">
        <v>19</v>
      </c>
      <c r="B124" t="s">
        <v>608</v>
      </c>
      <c r="C124">
        <v>5</v>
      </c>
      <c r="D124">
        <v>167.70000000000002</v>
      </c>
      <c r="G124" s="24" t="s">
        <v>19</v>
      </c>
      <c r="H124" t="s">
        <v>608</v>
      </c>
      <c r="I124">
        <v>5</v>
      </c>
      <c r="L124" s="24" t="s">
        <v>19</v>
      </c>
      <c r="M124" t="s">
        <v>608</v>
      </c>
      <c r="N124">
        <v>167.70000000000002</v>
      </c>
    </row>
    <row r="125" spans="1:14" x14ac:dyDescent="0.35">
      <c r="A125" t="s">
        <v>19</v>
      </c>
      <c r="B125" t="s">
        <v>113</v>
      </c>
      <c r="C125">
        <v>94</v>
      </c>
      <c r="D125">
        <v>3978.5</v>
      </c>
      <c r="G125" s="24" t="s">
        <v>19</v>
      </c>
      <c r="H125" t="s">
        <v>113</v>
      </c>
      <c r="I125">
        <v>94</v>
      </c>
      <c r="L125" s="24" t="s">
        <v>19</v>
      </c>
      <c r="M125" t="s">
        <v>113</v>
      </c>
      <c r="N125">
        <v>3978.5</v>
      </c>
    </row>
    <row r="126" spans="1:14" x14ac:dyDescent="0.35">
      <c r="A126" t="s">
        <v>19</v>
      </c>
      <c r="B126" t="s">
        <v>997</v>
      </c>
      <c r="C126">
        <v>28</v>
      </c>
      <c r="D126">
        <v>1405</v>
      </c>
      <c r="G126" s="24" t="s">
        <v>19</v>
      </c>
      <c r="H126" t="s">
        <v>997</v>
      </c>
      <c r="I126">
        <v>28</v>
      </c>
      <c r="L126" s="24" t="s">
        <v>19</v>
      </c>
      <c r="M126" t="s">
        <v>997</v>
      </c>
      <c r="N126">
        <v>1405</v>
      </c>
    </row>
    <row r="127" spans="1:14" x14ac:dyDescent="0.35">
      <c r="A127" t="s">
        <v>19</v>
      </c>
      <c r="B127" t="s">
        <v>82</v>
      </c>
      <c r="C127">
        <v>179</v>
      </c>
      <c r="D127">
        <v>9869.0999999999985</v>
      </c>
      <c r="G127" s="24" t="s">
        <v>19</v>
      </c>
      <c r="H127" t="s">
        <v>82</v>
      </c>
      <c r="I127">
        <v>179</v>
      </c>
      <c r="L127" s="24" t="s">
        <v>19</v>
      </c>
      <c r="M127" t="s">
        <v>82</v>
      </c>
      <c r="N127">
        <v>9869.0999999999985</v>
      </c>
    </row>
    <row r="128" spans="1:14" x14ac:dyDescent="0.35">
      <c r="A128" t="s">
        <v>19</v>
      </c>
      <c r="B128" t="s">
        <v>243</v>
      </c>
      <c r="C128">
        <v>15</v>
      </c>
      <c r="D128">
        <v>615.29999999999995</v>
      </c>
      <c r="G128" s="24" t="s">
        <v>19</v>
      </c>
      <c r="H128" t="s">
        <v>243</v>
      </c>
      <c r="I128">
        <v>15</v>
      </c>
      <c r="L128" s="24" t="s">
        <v>19</v>
      </c>
      <c r="M128" t="s">
        <v>243</v>
      </c>
      <c r="N128">
        <v>615.29999999999995</v>
      </c>
    </row>
    <row r="129" spans="1:14" x14ac:dyDescent="0.35">
      <c r="A129" t="s">
        <v>19</v>
      </c>
      <c r="B129" t="s">
        <v>1911</v>
      </c>
      <c r="C129">
        <v>3</v>
      </c>
      <c r="D129">
        <v>285</v>
      </c>
      <c r="G129" s="10" t="s">
        <v>19</v>
      </c>
      <c r="H129" t="s">
        <v>1911</v>
      </c>
      <c r="I129">
        <v>3</v>
      </c>
      <c r="L129" s="10" t="s">
        <v>19</v>
      </c>
      <c r="M129" t="s">
        <v>1911</v>
      </c>
      <c r="N129">
        <v>285</v>
      </c>
    </row>
    <row r="133" spans="1:14" x14ac:dyDescent="0.35">
      <c r="A133" s="7" t="s">
        <v>2529</v>
      </c>
      <c r="B133" t="s">
        <v>2518</v>
      </c>
    </row>
    <row r="134" spans="1:14" x14ac:dyDescent="0.35">
      <c r="A134" s="8">
        <v>0</v>
      </c>
      <c r="B134">
        <v>175</v>
      </c>
    </row>
    <row r="135" spans="1:14" x14ac:dyDescent="0.35">
      <c r="A135" s="8">
        <v>1</v>
      </c>
      <c r="B135">
        <v>888</v>
      </c>
    </row>
    <row r="136" spans="1:14" x14ac:dyDescent="0.35">
      <c r="A136" s="8">
        <v>2</v>
      </c>
      <c r="B136">
        <v>538</v>
      </c>
    </row>
    <row r="137" spans="1:14" x14ac:dyDescent="0.35">
      <c r="A137" s="8">
        <v>3</v>
      </c>
      <c r="B137">
        <v>344</v>
      </c>
    </row>
    <row r="138" spans="1:14" x14ac:dyDescent="0.35">
      <c r="A138" s="8">
        <v>4</v>
      </c>
      <c r="B138">
        <v>200</v>
      </c>
    </row>
    <row r="139" spans="1:14" x14ac:dyDescent="0.35">
      <c r="A139" s="8">
        <v>5</v>
      </c>
      <c r="B139">
        <v>94</v>
      </c>
    </row>
    <row r="140" spans="1:14" x14ac:dyDescent="0.35">
      <c r="A140" s="8">
        <v>6</v>
      </c>
      <c r="B140">
        <v>51</v>
      </c>
    </row>
    <row r="141" spans="1:14" x14ac:dyDescent="0.35">
      <c r="A141" s="8">
        <v>7</v>
      </c>
      <c r="B141">
        <v>32</v>
      </c>
    </row>
    <row r="142" spans="1:14" x14ac:dyDescent="0.35">
      <c r="A142" s="8">
        <v>8</v>
      </c>
      <c r="B142">
        <v>23</v>
      </c>
    </row>
    <row r="143" spans="1:14" x14ac:dyDescent="0.35">
      <c r="A143" s="8">
        <v>9</v>
      </c>
      <c r="B143">
        <v>9</v>
      </c>
    </row>
    <row r="144" spans="1:14" x14ac:dyDescent="0.35">
      <c r="A144" s="8">
        <v>10</v>
      </c>
      <c r="B144">
        <v>8</v>
      </c>
    </row>
    <row r="145" spans="1:12" x14ac:dyDescent="0.35">
      <c r="A145" s="8">
        <v>11</v>
      </c>
      <c r="B145">
        <v>11</v>
      </c>
    </row>
    <row r="146" spans="1:12" x14ac:dyDescent="0.35">
      <c r="A146" s="8">
        <v>12</v>
      </c>
      <c r="B146">
        <v>4</v>
      </c>
    </row>
    <row r="147" spans="1:12" x14ac:dyDescent="0.35">
      <c r="A147" s="8">
        <v>13</v>
      </c>
      <c r="B147">
        <v>10</v>
      </c>
    </row>
    <row r="148" spans="1:12" x14ac:dyDescent="0.35">
      <c r="A148" s="8">
        <v>14</v>
      </c>
      <c r="B148">
        <v>13</v>
      </c>
    </row>
    <row r="149" spans="1:12" x14ac:dyDescent="0.35">
      <c r="A149" s="8" t="s">
        <v>2530</v>
      </c>
      <c r="B149">
        <v>2400</v>
      </c>
    </row>
    <row r="152" spans="1:12" x14ac:dyDescent="0.35">
      <c r="A152" t="s">
        <v>2543</v>
      </c>
    </row>
    <row r="153" spans="1:12" x14ac:dyDescent="0.35">
      <c r="A153" s="7" t="s">
        <v>2518</v>
      </c>
      <c r="B153" s="7" t="s">
        <v>2534</v>
      </c>
      <c r="I153"/>
      <c r="J153"/>
      <c r="K153"/>
      <c r="L153"/>
    </row>
    <row r="154" spans="1:12" x14ac:dyDescent="0.35">
      <c r="A154" s="7" t="s">
        <v>2529</v>
      </c>
      <c r="B154">
        <v>1</v>
      </c>
      <c r="C154">
        <v>2</v>
      </c>
      <c r="D154">
        <v>3</v>
      </c>
      <c r="E154">
        <v>4</v>
      </c>
      <c r="F154">
        <v>5</v>
      </c>
      <c r="G154" t="s">
        <v>2530</v>
      </c>
      <c r="I154"/>
      <c r="J154"/>
      <c r="K154"/>
      <c r="L154"/>
    </row>
    <row r="155" spans="1:12" x14ac:dyDescent="0.35">
      <c r="A155" s="8" t="s">
        <v>2531</v>
      </c>
      <c r="B155">
        <v>7</v>
      </c>
      <c r="C155">
        <v>37</v>
      </c>
      <c r="D155">
        <v>150</v>
      </c>
      <c r="E155">
        <v>312</v>
      </c>
      <c r="F155">
        <v>224</v>
      </c>
      <c r="G155">
        <v>730</v>
      </c>
      <c r="I155"/>
      <c r="J155"/>
      <c r="K155"/>
      <c r="L155"/>
    </row>
    <row r="156" spans="1:12" x14ac:dyDescent="0.35">
      <c r="A156" s="8" t="s">
        <v>2532</v>
      </c>
      <c r="B156">
        <v>8</v>
      </c>
      <c r="C156">
        <v>51</v>
      </c>
      <c r="D156">
        <v>182</v>
      </c>
      <c r="E156">
        <v>373</v>
      </c>
      <c r="F156">
        <v>247</v>
      </c>
      <c r="G156">
        <v>861</v>
      </c>
      <c r="I156"/>
      <c r="J156"/>
      <c r="K156"/>
      <c r="L156"/>
    </row>
    <row r="157" spans="1:12" x14ac:dyDescent="0.35">
      <c r="A157" s="8" t="s">
        <v>2533</v>
      </c>
      <c r="B157">
        <v>6</v>
      </c>
      <c r="C157">
        <v>39</v>
      </c>
      <c r="D157">
        <v>163</v>
      </c>
      <c r="E157">
        <v>351</v>
      </c>
      <c r="F157">
        <v>250</v>
      </c>
      <c r="G157">
        <v>809</v>
      </c>
      <c r="I157"/>
      <c r="J157"/>
      <c r="K157"/>
      <c r="L157"/>
    </row>
    <row r="158" spans="1:12" x14ac:dyDescent="0.35">
      <c r="A158" s="8" t="s">
        <v>2530</v>
      </c>
      <c r="B158">
        <v>21</v>
      </c>
      <c r="C158">
        <v>127</v>
      </c>
      <c r="D158">
        <v>495</v>
      </c>
      <c r="E158">
        <v>1036</v>
      </c>
      <c r="F158">
        <v>721</v>
      </c>
      <c r="G158">
        <v>2400</v>
      </c>
      <c r="I158"/>
      <c r="J158"/>
      <c r="K158"/>
      <c r="L158"/>
    </row>
    <row r="159" spans="1:12" x14ac:dyDescent="0.35">
      <c r="I159"/>
      <c r="J159"/>
      <c r="K159"/>
      <c r="L159"/>
    </row>
    <row r="160" spans="1:12" x14ac:dyDescent="0.35">
      <c r="I160"/>
      <c r="J160"/>
      <c r="K160"/>
      <c r="L160"/>
    </row>
  </sheetData>
  <conditionalFormatting sqref="I27:L31">
    <cfRule type="colorScale" priority="1">
      <colorScale>
        <cfvo type="min"/>
        <cfvo type="percentile" val="50"/>
        <cfvo type="max"/>
        <color rgb="FFF8696B"/>
        <color rgb="FFFCFCFF"/>
        <color rgb="FF5A8AC6"/>
      </colorScale>
    </cfRule>
  </conditionalFormatting>
  <pageMargins left="0.7" right="0.7" top="0.75" bottom="0.75" header="0.3" footer="0.3"/>
  <pageSetup paperSize="9" orientation="portrait" r:id="rId1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CC14C-DB76-4988-9DC0-D05CADE2F716}">
  <sheetPr>
    <pageSetUpPr fitToPage="1"/>
  </sheetPr>
  <dimension ref="AF28"/>
  <sheetViews>
    <sheetView showGridLines="0" zoomScale="58" workbookViewId="0">
      <selection activeCell="AE51" sqref="A1:AE51"/>
    </sheetView>
  </sheetViews>
  <sheetFormatPr defaultRowHeight="14.5" x14ac:dyDescent="0.35"/>
  <cols>
    <col min="1" max="1" width="5" customWidth="1"/>
    <col min="2" max="2" width="21.54296875" customWidth="1"/>
    <col min="3" max="3" width="5" customWidth="1"/>
  </cols>
  <sheetData>
    <row r="28" spans="32:32" x14ac:dyDescent="0.35">
      <c r="AF28" s="24"/>
    </row>
  </sheetData>
  <pageMargins left="0.7" right="0.7" top="0.75" bottom="0.75" header="0.3" footer="0.3"/>
  <pageSetup paperSize="9" scale="31"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Data</vt:lpstr>
      <vt:lpstr>Questions &amp; KPIs</vt:lpstr>
      <vt:lpstr>ECommerce Pivot</vt:lpstr>
      <vt:lpstr>Dashboard</vt:lpstr>
      <vt:lpstr>Dashboard!Print_Area</vt:lpstr>
      <vt:lpstr>Data!Print_Area</vt:lpstr>
      <vt:lpstr>'Questions &amp; KPIs'!Print_Area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Kien Nguyen</cp:lastModifiedBy>
  <cp:lastPrinted>2026-06-11T00:47:17Z</cp:lastPrinted>
  <dcterms:created xsi:type="dcterms:W3CDTF">2025-06-13T02:42:26Z</dcterms:created>
  <dcterms:modified xsi:type="dcterms:W3CDTF">2026-06-11T00:47:29Z</dcterms:modified>
</cp:coreProperties>
</file>